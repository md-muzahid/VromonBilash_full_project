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 hp\Downloads\"/>
    </mc:Choice>
  </mc:AlternateContent>
  <xr:revisionPtr revIDLastSave="0" documentId="13_ncr:1_{B2AD1432-58C9-40B0-927E-586A003895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Summary" sheetId="2" r:id="rId2"/>
    <sheet name="Bug Report" sheetId="3" r:id="rId3"/>
  </sheets>
  <definedNames>
    <definedName name="_xlnm._FilterDatabase" localSheetId="2" hidden="1">'Bug Report'!$A$1:$I$3</definedName>
    <definedName name="_xlnm._FilterDatabase" localSheetId="0" hidden="1">'Test Cases'!$A$1:$I$58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Nh5pRa1w3S3Tp6vXfk8/nWaIR9Ec7WCWo0P2bGnnUE="/>
    </ext>
  </extLst>
</workbook>
</file>

<file path=xl/calcChain.xml><?xml version="1.0" encoding="utf-8"?>
<calcChain xmlns="http://schemas.openxmlformats.org/spreadsheetml/2006/main">
  <c r="B15" i="2" l="1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F7" i="2"/>
  <c r="E7" i="2"/>
  <c r="D7" i="2"/>
  <c r="C7" i="2"/>
  <c r="F6" i="2"/>
  <c r="E6" i="2"/>
  <c r="D6" i="2"/>
  <c r="F5" i="2"/>
  <c r="E5" i="2"/>
  <c r="D5" i="2"/>
  <c r="C5" i="2"/>
  <c r="F4" i="2"/>
  <c r="F15" i="2" s="1"/>
  <c r="E4" i="2"/>
  <c r="E15" i="2" s="1"/>
  <c r="D4" i="2"/>
  <c r="D15" i="2" s="1"/>
  <c r="C4" i="2"/>
  <c r="C15" i="2" s="1"/>
</calcChain>
</file>

<file path=xl/sharedStrings.xml><?xml version="1.0" encoding="utf-8"?>
<sst xmlns="http://schemas.openxmlformats.org/spreadsheetml/2006/main" count="742" uniqueCount="485">
  <si>
    <t>TC ID</t>
  </si>
  <si>
    <t>VromonBilash - Test Case Coverage and Execution</t>
  </si>
  <si>
    <t>Bug ID</t>
  </si>
  <si>
    <t>Module</t>
  </si>
  <si>
    <t>Type</t>
  </si>
  <si>
    <t>Title</t>
  </si>
  <si>
    <t>Test Steps</t>
  </si>
  <si>
    <t>Bug Title</t>
  </si>
  <si>
    <t>Test Data</t>
  </si>
  <si>
    <t>Expected Result</t>
  </si>
  <si>
    <t>Severity</t>
  </si>
  <si>
    <t>Actual Result</t>
  </si>
  <si>
    <t>Priority</t>
  </si>
  <si>
    <t>Status (Pass/Fail)</t>
  </si>
  <si>
    <t>Status</t>
  </si>
  <si>
    <t>Steps to Reproduce</t>
  </si>
  <si>
    <t>TC: 001</t>
  </si>
  <si>
    <t>Evidence</t>
  </si>
  <si>
    <t xml:space="preserve">Sign Up </t>
  </si>
  <si>
    <t>Positive</t>
  </si>
  <si>
    <t>BUG-001</t>
  </si>
  <si>
    <t>Register with valid data opens OTP screen</t>
  </si>
  <si>
    <t>1. Enter Name 
2. Enter Phone 
3. Enter Email 
4. Enter Password 
5. Click Create Account once</t>
  </si>
  <si>
    <t>Registration succeeds and the OTP verification screen opens; one OTP is sent to the QA phone/email.</t>
  </si>
  <si>
    <t>Total</t>
  </si>
  <si>
    <t>OTP was not received after clicking Create Account.</t>
  </si>
  <si>
    <t>Pass</t>
  </si>
  <si>
    <t>Fail</t>
  </si>
  <si>
    <t>Blocked</t>
  </si>
  <si>
    <t>Not Run</t>
  </si>
  <si>
    <t>WhatsApp label points to a telephone link</t>
  </si>
  <si>
    <t>Medium</t>
  </si>
  <si>
    <t>Major</t>
  </si>
  <si>
    <t>Functional / Content Mismatch</t>
  </si>
  <si>
    <t>New</t>
  </si>
  <si>
    <t>Open /plan-your-trip, scroll to footer, locate 'Whatsapp: Message Us', and inspect/click the link.</t>
  </si>
  <si>
    <t>TC: 002</t>
  </si>
  <si>
    <t>The CTA should open a WhatsApp conversation.</t>
  </si>
  <si>
    <t>The CTA points to `tel:+8801922-700031` instead of a WhatsApp URL.</t>
  </si>
  <si>
    <t>Account is created unverified before OTP</t>
  </si>
  <si>
    <t>1. Enter Name
2. Enter Phone
3. Enter Email
4. Enter Password
5. Click Create Account once
6. Query the user record by phone (DB/admin)</t>
  </si>
  <si>
    <t>Exactly one user record exists with verified OTP is entered.</t>
  </si>
  <si>
    <t xml:space="preserve"> verified OTP is entered.</t>
  </si>
  <si>
    <t>BUG-002</t>
  </si>
  <si>
    <t>Office address content is incorrect</t>
  </si>
  <si>
    <t>Low/Medium</t>
  </si>
  <si>
    <t>Content / Business Information</t>
  </si>
  <si>
    <t>TC: 003</t>
  </si>
  <si>
    <t>Open /plan-your-trip and review office names and addresses in the footer.</t>
  </si>
  <si>
    <t>Each office label should display its correct and complete physical address.</t>
  </si>
  <si>
    <t>Verify with valid OTP before expiry</t>
  </si>
  <si>
    <t>Dhaka Office shows a Cox's Bazar address; Saint Martin Office address is not sufficiently specific.</t>
  </si>
  <si>
    <t>1. Read the OTP from the approved QA channel
2. Enter the OTP
3. Click Verify</t>
  </si>
  <si>
    <t>Valid OTP</t>
  </si>
  <si>
    <t>bug</t>
  </si>
  <si>
    <t>Account becomes verified once; success message; Login/Dashboard per requirement.</t>
  </si>
  <si>
    <t>Not sent OTP</t>
  </si>
  <si>
    <t>TC: 004</t>
  </si>
  <si>
    <t>Resend OTP after cooldown delivers a working OTP</t>
  </si>
  <si>
    <t>1. Click Resend OTP once
2. Read the new OTP
3. Enter the new OTP and click Verify</t>
  </si>
  <si>
    <t>New OTP</t>
  </si>
  <si>
    <t>A new OTP is delivered and accepted</t>
  </si>
  <si>
    <t>OTP was not sent initially, so the resend OTP flow could not be verified</t>
  </si>
  <si>
    <t>TC: 005</t>
  </si>
  <si>
    <t>Register with a Bangla name</t>
  </si>
  <si>
    <t>1. Enter 'টেস্ট কিউএ রহিম' in Name
2. Enter the other valid values
3. Click Create Account</t>
  </si>
  <si>
    <t>Name: রহিম</t>
  </si>
  <si>
    <t>Accepted if Unicode names are supported; the name is stored and later displayed without corruption.</t>
  </si>
  <si>
    <t>registration flow could not be completed.</t>
  </si>
  <si>
    <t>TC: 006</t>
  </si>
  <si>
    <t>Negative</t>
  </si>
  <si>
    <t>Register with all fields blank</t>
  </si>
  <si>
    <t>1. Leave every field empty
2. Click Create Account</t>
  </si>
  <si>
    <t>All empty</t>
  </si>
  <si>
    <t>Required validation on each field; no account or OTP request created.</t>
  </si>
  <si>
    <t>Required-field validation</t>
  </si>
  <si>
    <t>TC: 007</t>
  </si>
  <si>
    <t>Register with invalid phone</t>
  </si>
  <si>
    <t>1. Enter valid values except Phone = abc123
2. Click Create Account</t>
  </si>
  <si>
    <t>Phone: abc123</t>
  </si>
  <si>
    <t>Phone-format validation shown</t>
  </si>
  <si>
    <t>Phone-format validation</t>
  </si>
  <si>
    <t>BUG-003</t>
  </si>
  <si>
    <t>OTP is not sent after successful Sign Up</t>
  </si>
  <si>
    <t>High</t>
  </si>
  <si>
    <t>Sign Up / OTP Verification</t>
  </si>
  <si>
    <t>Open the Sign Up page.
Enter valid registration information.
Click Create Account once.
Check the registered phone/email for the OTP.</t>
  </si>
  <si>
    <t>An OTP should be sent to the registered phone the user to verify the account and complete registration.</t>
  </si>
  <si>
    <t>No OTP is received after clicking Create Account. The user cannot complete OTP verification.</t>
  </si>
  <si>
    <t xml:space="preserve">Sign In </t>
  </si>
  <si>
    <t>TC: 008</t>
  </si>
  <si>
    <t>BUG-004</t>
  </si>
  <si>
    <t>OTP is not delivered on resort booking phone verification step</t>
  </si>
  <si>
    <t>Register with already registered phone</t>
  </si>
  <si>
    <t>1. Enter valid values with Phone 
2. Click Create Account</t>
  </si>
  <si>
    <t>Existing phone</t>
  </si>
  <si>
    <t>Resort Booking / SMS OTP</t>
  </si>
  <si>
    <t>Duplicate phone rejected with a message; no second account created.</t>
  </si>
  <si>
    <t>Could not be fully verified because OTP was not sent</t>
  </si>
  <si>
    <t>1. Open resort booking for Courtyard by Marriott New York
2. Confirm room/date summary
3. Enter phone number 01610894542
4. Click Verify / Continue to Number Verification
5. Wait for OTP delivery</t>
  </si>
  <si>
    <t>TC: 009</t>
  </si>
  <si>
    <t>OTP should be delivered within the configured able to continue only after successful verification.</t>
  </si>
  <si>
    <t>OTP was not received</t>
  </si>
  <si>
    <t>Register with already registered email</t>
  </si>
  <si>
    <t>1. Enter valid values with Email 
2. Click Create Account</t>
  </si>
  <si>
    <t>Existing email</t>
  </si>
  <si>
    <t>BUG-005</t>
  </si>
  <si>
    <t>Duplicate email rejected; no second account created.</t>
  </si>
  <si>
    <t>Package booking cannot proceed because verification OTP is not delivered</t>
  </si>
  <si>
    <t xml:space="preserve">Package Booking / SMS OTP
</t>
  </si>
  <si>
    <t>TC: 010</t>
  </si>
  <si>
    <t>Register with weak password</t>
  </si>
  <si>
    <t>1. Enter valid values except Password = 123456
2. Click Create Account</t>
  </si>
  <si>
    <t>Password: 123456</t>
  </si>
  <si>
    <t>Password-policy message shown; account not created.</t>
  </si>
  <si>
    <t xml:space="preserve">1. Open Confirm your Booking for package. 2. Enter 01610894542. 3. Click Verify. 4. Wait for OTP.
</t>
  </si>
  <si>
    <t>OTP delivered user can verify and proceed.</t>
  </si>
  <si>
    <t>TC: 011</t>
  </si>
  <si>
    <t>Verify with wrong OTP</t>
  </si>
  <si>
    <t>BUG-006</t>
  </si>
  <si>
    <t>1. Enter 000000 (confirm it is not the real OTP)
2. Click Verify</t>
  </si>
  <si>
    <t>OTP: 000000</t>
  </si>
  <si>
    <t>OTP rejected with a clear message; account stays unverified.</t>
  </si>
  <si>
    <t>valid OTP verification flow could not be executed.</t>
  </si>
  <si>
    <t>Slider Image Redirects to Unreachable Resort URL</t>
  </si>
  <si>
    <t>TC: 012</t>
  </si>
  <si>
    <t>Verify with expired OTP</t>
  </si>
  <si>
    <t>1. Wait until the OTP validity 
2. Enter the original OTP
3. Click Verify</t>
  </si>
  <si>
    <t>Expired OTP</t>
  </si>
  <si>
    <t>OTP rejected; user is told to request a new OTP; account stays unverified.</t>
  </si>
  <si>
    <t>Home Page – Slider</t>
  </si>
  <si>
    <t>TC: 013</t>
  </si>
  <si>
    <t>1.Open the Vromon Bilash website.
2.Go to the Home page.
3.Click the first slider image.
4.Observe the redirected URL.
5.Repeat with the second slider image.</t>
  </si>
  <si>
    <t>Clicking the slider image should open the corresponding resort details page successfully without a connection error.</t>
  </si>
  <si>
    <t>Reuse an already used OTP</t>
  </si>
  <si>
    <t>Clicking the slider image redirects to:
The browser displays “This site can’t be reached.”</t>
  </si>
  <si>
    <t>1. Return to the OTP screen for the same request (new session)
2. Enter OTP X again
3. Click Verify</t>
  </si>
  <si>
    <t>Forgot Password</t>
  </si>
  <si>
    <t>Used OTP</t>
  </si>
  <si>
    <t>Bug</t>
  </si>
  <si>
    <t>Reused OTP rejected; OTP is single-use.</t>
  </si>
  <si>
    <t>TC: 014</t>
  </si>
  <si>
    <t>Login with correct phone and password</t>
  </si>
  <si>
    <t>1. Open Login
2. Enter  phone required 
3. Enter A password required 
4. Click Login</t>
  </si>
  <si>
    <t>Phone: +8801610894542
Password: Test1234@</t>
  </si>
  <si>
    <t>Login succeess</t>
  </si>
  <si>
    <t>TC: 015</t>
  </si>
  <si>
    <t>Session survives page refresh</t>
  </si>
  <si>
    <t>1. Open Login
2. Enter A phone 
3. Enter A password '
4. Click Login
5. Press Refresh on the dashboard</t>
  </si>
  <si>
    <t>User stays logged in on the dashboard.</t>
  </si>
  <si>
    <t>ser stayed logged in after refresh</t>
  </si>
  <si>
    <t>TC: 016</t>
  </si>
  <si>
    <t>Direct URL to a protected account page when logged in</t>
  </si>
  <si>
    <t>1. Open Login
2. Enter A phone required 
3. Enter A password required 
4. Click Login
5. Open the account/profile URL directly</t>
  </si>
  <si>
    <t>Protected page opens for the authenticated user.</t>
  </si>
  <si>
    <t>Account page opened successfully.</t>
  </si>
  <si>
    <t>TC: 017</t>
  </si>
  <si>
    <t>Logout ends the session</t>
  </si>
  <si>
    <t>1. Open Login
2. Enter phone required
3. Enter A password required 
4. Click Login
5. Click Logout</t>
  </si>
  <si>
    <t>Session ends and the user lands on the Login/public page.</t>
  </si>
  <si>
    <t>Logout successful and login page shown</t>
  </si>
  <si>
    <t>BUG-007</t>
  </si>
  <si>
    <t>TC: 018</t>
  </si>
  <si>
    <t>Login with both fields blank</t>
  </si>
  <si>
    <t>App Download Link is not working</t>
  </si>
  <si>
    <t>Plan Your Trip</t>
  </si>
  <si>
    <t>1. Leave Phone and Password empty
2. Click Login</t>
  </si>
  <si>
    <t>Empty</t>
  </si>
  <si>
    <t>Required validation shown; no login request succeeds.</t>
  </si>
  <si>
    <t xml:space="preserve">Home Page </t>
  </si>
  <si>
    <t>Required validation</t>
  </si>
  <si>
    <t>1.Open the Vromon Bilash website.
2.Go to the Home page.
3.Scrooll down and click to download app</t>
  </si>
  <si>
    <t xml:space="preserve">go to playstore or applestore </t>
  </si>
  <si>
    <t>clicking but no working</t>
  </si>
  <si>
    <t>TC: 019</t>
  </si>
  <si>
    <t>Login with wrong password</t>
  </si>
  <si>
    <t>1. Enter A phone required 
2. Enter wrong password 
3. Click Login</t>
  </si>
  <si>
    <t>Wrong password</t>
  </si>
  <si>
    <t>Rejected with a generic error; no sensitive account detail revealed; no session.</t>
  </si>
  <si>
    <t>Wrong password was rejected</t>
  </si>
  <si>
    <t>TC: 020</t>
  </si>
  <si>
    <t>Login with unregistered phone</t>
  </si>
  <si>
    <t>1. Enter +8801700000099
2. Enter any password
3. Click Login</t>
  </si>
  <si>
    <t>Unregistered phone</t>
  </si>
  <si>
    <t>Rejected; message is the same generic one as for a wrong password (no account enumeration).</t>
  </si>
  <si>
    <t>Unregistered phone was rejected</t>
  </si>
  <si>
    <t>TC: 021</t>
  </si>
  <si>
    <t>Login blocked for unverified account</t>
  </si>
  <si>
    <t>1. Enter unverified phone  and its password
2. Click Login</t>
  </si>
  <si>
    <t>Unverified account</t>
  </si>
  <si>
    <t>Login blocked and verification guidance shown; no session.</t>
  </si>
  <si>
    <t>Unverified account login was blocked</t>
  </si>
  <si>
    <t>TC: 022</t>
  </si>
  <si>
    <t>Repeated wrong passwords are throttled</t>
  </si>
  <si>
    <t>1. Submit a wrong password 
2. Then submit the correct password</t>
  </si>
  <si>
    <t>10 wrong attempts</t>
  </si>
  <si>
    <t>Rate-limit/lockout applies per the security requirement; no unlimited guessing. Record the threshold in Open Items.</t>
  </si>
  <si>
    <t>Login attempts were throttled after repeated failures</t>
  </si>
  <si>
    <t>TC: 023</t>
  </si>
  <si>
    <t>Back/refresh after logout shows no protected data</t>
  </si>
  <si>
    <t>1. Open Login
2. Enter QA-owned CUST_A phone required (not supplied) in 'Phone'
3. Enter QA-owned CUST_A password required (not supplied) in 'Password'
4. Click Login
5. Click Logout
6. Press Back
7. Refresh</t>
  </si>
  <si>
    <t>Protected content not shown; redirect to login; old token rejected by the API.</t>
  </si>
  <si>
    <t>Protected data was not shown after logout</t>
  </si>
  <si>
    <t>Contact Form</t>
  </si>
  <si>
    <t>TC: 024</t>
  </si>
  <si>
    <t>BVA</t>
  </si>
  <si>
    <t>Phone with leading/trailing spaces</t>
  </si>
  <si>
    <t>1. Enter ' QA-owned CUST_A phone required (not supplied)' (leading space) and the correct password
2. Repeat with a trailing space
3. Repeat with spaces only</t>
  </si>
  <si>
    <t>Spaced phone values</t>
  </si>
  <si>
    <t>Defined behaviour (trimmed and accepted, or rejected) and never logs in to a different account; spaces-only is rejected.</t>
  </si>
  <si>
    <t>Spaces were handled correctly and spaces-only input was rejected.</t>
  </si>
  <si>
    <t>TC: 025</t>
  </si>
  <si>
    <t>Request reset OTP with registered phone</t>
  </si>
  <si>
    <t>1. On Login click 'Forgot Password? Click Here'
2. Enter QA-owned CUST_A phone required (not supplied)
3. Click Verify/Send</t>
  </si>
  <si>
    <t>CUST_A phone</t>
  </si>
  <si>
    <t>OTP/reset step opens without exposing account details; one OTP sent to the QA channel.</t>
  </si>
  <si>
    <t>OTP could not be verified</t>
  </si>
  <si>
    <t>TC: 026</t>
  </si>
  <si>
    <t>Valid reset OTP opens new-password form</t>
  </si>
  <si>
    <t>1. Enter the valid reset OTP
2. Submit</t>
  </si>
  <si>
    <t>OTP accepted; new-password form opens.</t>
  </si>
  <si>
    <t>Valid OTP not available for verification.</t>
  </si>
  <si>
    <t>TC: 027</t>
  </si>
  <si>
    <t>Reset password with matching valid passwords</t>
  </si>
  <si>
    <t>1. Enter New Password
2. Enter the same value in Confirm Password
3. Click Reset Password</t>
  </si>
  <si>
    <t>New password VbQa#2026Reset</t>
  </si>
  <si>
    <t>Password reset succeeds with a success message.</t>
  </si>
  <si>
    <t>Reset flow could not be completed</t>
  </si>
  <si>
    <t>TC: 028</t>
  </si>
  <si>
    <t>Login works with new password and fails with old</t>
  </si>
  <si>
    <t>1. Login phone required  and the new password
2. Logout
3. Login with the old password</t>
  </si>
  <si>
    <t>New and old passwords</t>
  </si>
  <si>
    <t>New password logs in; old password is rejected.</t>
  </si>
  <si>
    <t>New/old password login could not be verified.</t>
  </si>
  <si>
    <t>TC: 029</t>
  </si>
  <si>
    <t>Reset request for unregistered phone</t>
  </si>
  <si>
    <t>1. Enter +8801700000099
2. Submit</t>
  </si>
  <si>
    <t>Safe generic response (no 'user not found' leak); no OTP sent.</t>
  </si>
  <si>
    <t>no account details/OTP exposed</t>
  </si>
  <si>
    <t>TC: 030</t>
  </si>
  <si>
    <t>Reset request with blank phone</t>
  </si>
  <si>
    <t>1. Leave Phone empty
2. Submit</t>
  </si>
  <si>
    <t>Required validation shown; no request sent.</t>
  </si>
  <si>
    <t>Required validation shown; request not submitted</t>
  </si>
  <si>
    <t>TC: 031</t>
  </si>
  <si>
    <t>Wrong reset OTP</t>
  </si>
  <si>
    <t>1. Enter 000000 
2. Submit</t>
  </si>
  <si>
    <t>OTP rejected; the reset cannot continue.</t>
  </si>
  <si>
    <t>Invalid OTP rejected</t>
  </si>
  <si>
    <t>Customer Panel</t>
  </si>
  <si>
    <t>TC: 032</t>
  </si>
  <si>
    <t>Expired reset OTP</t>
  </si>
  <si>
    <t>1. Wait for the OTP validity 
2. Enter the original OTP</t>
  </si>
  <si>
    <t>Rejected; user must request a new OTP.</t>
  </si>
  <si>
    <t>OTP expiry could not be verified</t>
  </si>
  <si>
    <t>TC: 033</t>
  </si>
  <si>
    <t>New and confirm passwords do not match</t>
  </si>
  <si>
    <t>1. Enter New Password
2. Enter Confirm Password
3. Click Reset Password</t>
  </si>
  <si>
    <t>Mismatching passwords</t>
  </si>
  <si>
    <t>Mismatch validation shown; password unchanged (old password still works).</t>
  </si>
  <si>
    <t>Password mismatch validation shown</t>
  </si>
  <si>
    <t>TC: 034</t>
  </si>
  <si>
    <t>Submit trip request with all fields valid</t>
  </si>
  <si>
    <t>1. Select 'Cox's Bazar' in 'Where Would You Want To Go'
2. Pick departure today+14 and return today+17 in 'Departure And Return Date'
3. Enter 'TEST_QA Rahim' in 'Full Name'
4. Enter +8801700000002 in 'Phone Number'
5. Enter qa.vromonbilash.trip.20261006@example.com in 'Email Address'
6. Enter 2 in 'How Many People'
7. Click Submit once
8. Search 'TEST_QA Rahim' in the admin trip-request list</t>
  </si>
  <si>
    <t xml:space="preserve">Destination: Cox's Bazar; Dates: today+14 to today+17; Full Name: Md Miraj Uddin; Phone: +8801610894542 Email: testmail200100@gmail.com; People: 2 </t>
  </si>
  <si>
    <t>Success message 1 request saved with the entered values.</t>
  </si>
  <si>
    <t>plan submit</t>
  </si>
  <si>
    <t>TC: 035</t>
  </si>
  <si>
    <t>Submit with optional Email blank</t>
  </si>
  <si>
    <t>1. Select 'Cox's Bazar' in 'Where Would You Want To Go'
2. Pick departure today+14 and return today+17 in 'Departure And Return Date'
3. Enter 'TEST_QA Rahim' in 'Full Name'
4. Enter +8801700000002 in 'Phone Number'
5. Enter 2 in 'How Many People'
6. Leave Email Address empty
7. Click Submit</t>
  </si>
  <si>
    <t xml:space="preserve">Destination: Cox's Bazar; Dates: today+14 to today+17; Full Name: Md Miraj Uddin; Phone: +8801610894542 Email: emty ; People: 2 </t>
  </si>
  <si>
    <t>Accepted; 1 request saved with empty email.</t>
  </si>
  <si>
    <t>TC: 036</t>
  </si>
  <si>
    <t>Selected dates are shown and saved correctly</t>
  </si>
  <si>
    <t>1. Pick departure today+14 and return today+17
2. Check the field text
3. Complete the form and Submit
4. Open the request in admin</t>
  </si>
  <si>
    <t>Departure today+14; Return today+17</t>
  </si>
  <si>
    <t>Field shows both dates; admin shows the same dates (no off-by-one/timezone shift).</t>
  </si>
  <si>
    <t>Submit with all fields blank</t>
  </si>
  <si>
    <t>1. Leave all fields empty
2. Click Submit</t>
  </si>
  <si>
    <t>Super Admin</t>
  </si>
  <si>
    <t>Required validation for Destination, Date, Full Name, Phone and People; no request created.</t>
  </si>
  <si>
    <t>TC: 037</t>
  </si>
  <si>
    <t>Destination left blank</t>
  </si>
  <si>
    <t>1. Pick departure today+14 and return today+17 in 'Departure And Return Date'
2. Enter 'TEST_QA Rahim' in 'Full Name'
3. Enter +8801700000002 in 'Phone Number'
4. Enter qa.vromonbilash.trip.20261006@example.com in 'Email Address'
5. Enter 2 in 'How Many People'
6. Click Submit</t>
  </si>
  <si>
    <t>Destination: Cox's Bazar; Dates: today+14 to today+17; Full Name: TEST_QA Rahim; Phone: +8801700000002; Email: qa.vromonbilash.trip.20261006@example.com; People: 2 (Destination empty)</t>
  </si>
  <si>
    <t>Destination validation shown; submission blocked.</t>
  </si>
  <si>
    <t>Destination validation</t>
  </si>
  <si>
    <t>TC: 038</t>
  </si>
  <si>
    <t>Phone with letters</t>
  </si>
  <si>
    <t>1. Fill valid data except Phone Number = abc123
2. Click Submit</t>
  </si>
  <si>
    <t>Phone validation shown; nothing saved.</t>
  </si>
  <si>
    <t>Please enter a valid Bangladeshi phone number</t>
  </si>
  <si>
    <t>TC: 039</t>
  </si>
  <si>
    <t>Invalid email format</t>
  </si>
  <si>
    <t>1. Fill valid data except Email Address = qa-invalid
2. Click Submit</t>
  </si>
  <si>
    <t>Email: qa-invalid</t>
  </si>
  <si>
    <t>Email validation shown; nothing saved.</t>
  </si>
  <si>
    <t>Rejected with validation</t>
  </si>
  <si>
    <t>TC: 040</t>
  </si>
  <si>
    <t>People count = 0</t>
  </si>
  <si>
    <t>1. Fill valid data except How Many People = 0
2. Click Submit</t>
  </si>
  <si>
    <t>People: 0</t>
  </si>
  <si>
    <t>Rejected with validation; nothing saved.</t>
  </si>
  <si>
    <t>Members must be greater than or equal to 1</t>
  </si>
  <si>
    <t>Resort Manager</t>
  </si>
  <si>
    <t>TC: 041</t>
  </si>
  <si>
    <t>Submit contact form with valid data</t>
  </si>
  <si>
    <t>1. Enter all values from test data
2. Click Submit once
3. Check the admin contact list</t>
  </si>
  <si>
    <t>Full Name: TEST_QA Karim; Phone: +8801700000002; Email: qa.vromonbilash.trip.20261006@example.com; Subject: TEST_QA enquiry; Message: TEST_QA message, please ignore.</t>
  </si>
  <si>
    <t>Success message/reference shown; exactly 1 contact record with the entered values.</t>
  </si>
  <si>
    <t xml:space="preserve">Required validation </t>
  </si>
  <si>
    <t>TC: 042</t>
  </si>
  <si>
    <t>Required validation shown; no message sent.</t>
  </si>
  <si>
    <t>TC: 043</t>
  </si>
  <si>
    <t>1. Enter valid values except Email = test-email
2. Click Submit</t>
  </si>
  <si>
    <t>Email: test-email</t>
  </si>
  <si>
    <t>Email validation shown; submission blocked.</t>
  </si>
  <si>
    <t>TC: 044</t>
  </si>
  <si>
    <t>Invalid phone</t>
  </si>
  <si>
    <t>1. Enter valid values except Phone = abc123
2. Click Submit</t>
  </si>
  <si>
    <t>Phone validation shown; submission blocked.</t>
  </si>
  <si>
    <t>TC: 045</t>
  </si>
  <si>
    <t>Dashboard shows correct customer name</t>
  </si>
  <si>
    <t>1. Open Login
2. Enter QA-owned CUST_A phone required (not supplied) in 'Phone'
3. Enter QA-owned CUST_A password required (not supplied) in 'Password'
4. Click Login
5. Observe the dashboard</t>
  </si>
  <si>
    <t>CUST_A</t>
  </si>
  <si>
    <t>Dashboard loads with CUST_A's name.</t>
  </si>
  <si>
    <t>Success</t>
  </si>
  <si>
    <t>TC: 046</t>
  </si>
  <si>
    <t>Dashboard counts match booking list</t>
  </si>
  <si>
    <t>1. Open Login
2. Enter QA-owned CUST_A phone required (not supplied) in 'Phone'
3. Enter QA-owned CUST_A password required (not supplied) in 'Password'
4. Click Login
5. Note Total/Pending/Confirmed/Cancelled counts
6. Open My Bookings and count rows per status</t>
  </si>
  <si>
    <t>Known counts</t>
  </si>
  <si>
    <t>Each dashboard count equals the number of rows with that status.</t>
  </si>
  <si>
    <t>TC: 047</t>
  </si>
  <si>
    <t>Profile update persists</t>
  </si>
  <si>
    <t>1. Open Login
2. Enter QA-owned CUST_A phone required (not supplied) in 'Phone'
3. Enter QA-owned CUST_A password required (not supplied) in 'Password'
4. Click Login
5. Open Profile
6. Change Name to 'TEST_QA Updated' and Phone to +8801700000003
7. Save
8. Refresh</t>
  </si>
  <si>
    <t>Name: TEST_QA Updated; Phone: +8801700000003</t>
  </si>
  <si>
    <t>Success message; refreshed profile and dashboard show the new values.</t>
  </si>
  <si>
    <t>TC: 048</t>
  </si>
  <si>
    <t>Booking details are correct</t>
  </si>
  <si>
    <t>1. Open Login
2. Enter QA-owned CUST_A phone required (not supplied) in 'Phone'
3. Enter QA-owned CUST_A password required (not supplied) in 'Password'
4. Click Login
5. Open My Bookings
6. Open a Confirmed booking
7. Compare with the admin/DB record</t>
  </si>
  <si>
    <t>Known confirmed booking</t>
  </si>
  <si>
    <t>Dates, guests, room/package and amount match the source record.</t>
  </si>
  <si>
    <t>Resort Booking / OTP</t>
  </si>
  <si>
    <t>TC: 049</t>
  </si>
  <si>
    <t>Admin login and logout</t>
  </si>
  <si>
    <t>1. Open the Admin login page
2. Login with QA-owned admin username required (not supplied) / QA-owned admin password required (not supplied)
3. Verify the dashboard
4. Click Logout
5. Press Back</t>
  </si>
  <si>
    <t>ADMIN</t>
  </si>
  <si>
    <t>Dashboard opens; after logout the session is invalid and Back shows no admin data.</t>
  </si>
  <si>
    <t>Package Booking</t>
  </si>
  <si>
    <t>TC: 050</t>
  </si>
  <si>
    <t>Dashboard counts match lists</t>
  </si>
  <si>
    <t>1. Open the Admin login page
2. Login with QA-owned admin username required (not supplied) / QA-owned admin password required (not supplied)
3. Note each dashboard count
4. Open the matching lists and count records</t>
  </si>
  <si>
    <t>Existing test records</t>
  </si>
  <si>
    <t>Every dashboard count equals its list count.</t>
  </si>
  <si>
    <t>Ship Booking</t>
  </si>
  <si>
    <t>TC: 051</t>
  </si>
  <si>
    <t>Customer/Manager cannot open admin URL</t>
  </si>
  <si>
    <t>1. As CUST_A open the admin dashboard URL
2. As MGR_A open the admin dashboard URL
3. Call one admin API as each</t>
  </si>
  <si>
    <t>Admin URL</t>
  </si>
  <si>
    <t>403 or redirect for both; 401/403 or safe 404; no data in the response; no change in the database.</t>
  </si>
  <si>
    <t>TC: 052</t>
  </si>
  <si>
    <t>Deleting a record linked to a booking is blocked</t>
  </si>
  <si>
    <t>1. Open the Admin login page
2. Login with QA-owned admin username required (not supplied) / QA-owned admin password required (not supplied)
3. Try to delete the linked record
4. Check the booking</t>
  </si>
  <si>
    <t>Linked record</t>
  </si>
  <si>
    <t>Deletion blocked or guarded; the booking is not orphaned.</t>
  </si>
  <si>
    <t>TC: 053</t>
  </si>
  <si>
    <t>Create and edit a room category</t>
  </si>
  <si>
    <t>1. Open the Manager login page
2. Login as MGR_A
3. Rooms &gt; Add: 'TEST_QA Suite', capacity 2
4. Edit capacity to 3
5. Open the calendar and booking flow</t>
  </si>
  <si>
    <t>TEST_QA Suite</t>
  </si>
  <si>
    <t>Saved once; appears in calendar/booking flow with capacity 3.</t>
  </si>
  <si>
    <t>TC: 054</t>
  </si>
  <si>
    <t>Create manual booking for an available room</t>
  </si>
  <si>
    <t>1. Open the Manager login page
2. Login as MGR_A
3. Open Manual Booking
4. Pick an available room and dates
5. Enter TEST_QA guest details
6. Save once</t>
  </si>
  <si>
    <t>Available TEST_QA Suite room</t>
  </si>
  <si>
    <t>Exactly one booking with correct source, commission and status; inventory reduced by 1.</t>
  </si>
  <si>
    <t>TC: 055</t>
  </si>
  <si>
    <t>Manual booking for a fully booked room is blocked</t>
  </si>
  <si>
    <t>1. Open the Manager login page
2. Login as MGR_A
3. Try a manual booking for that room/date</t>
  </si>
  <si>
    <t>Fully booked room/date</t>
  </si>
  <si>
    <t>Blocked with a message; inventory and booking count unchanged.</t>
  </si>
  <si>
    <t>TC: 056</t>
  </si>
  <si>
    <t>Double-submit manual booking</t>
  </si>
  <si>
    <t>1. Open the Manager login page
2. Login as MGR_A
3. Fill a valid manual booking
4. Double-click Save
5. Check bookings and commission records</t>
  </si>
  <si>
    <t>Valid manual booking</t>
  </si>
  <si>
    <t>Only 1 booking and 1 commission record created.</t>
  </si>
  <si>
    <t>TC: 057</t>
  </si>
  <si>
    <t>Request OTP for booking phone</t>
  </si>
  <si>
    <t>1. Review booking summary
2. Enter/confirm phone number 01610894542
3. Click Verify / continue to number verification
4. Wait for OTP delivery"</t>
  </si>
  <si>
    <t>Resort: Courtyard by Marriott New York; Check-in 06 Oct 2026; Check-out 07 Oct 2026; Room DELUXE-ROOM / Room-1; Total ৳2,000; Phone 01610894542</t>
  </si>
  <si>
    <t>OTP should be sent  and OTP entry field should become usable</t>
  </si>
  <si>
    <t>User reported OTP was not received, therefore booking could not proceed to verification or payment.</t>
  </si>
  <si>
    <t>TC: 058</t>
  </si>
  <si>
    <t>Enter valid OTP and continue</t>
  </si>
  <si>
    <t>1. Enter the latest valid OTP
2. Click Verify"</t>
  </si>
  <si>
    <t>Valid OTP from SMS</t>
  </si>
  <si>
    <t>OTP accepted once; user proceeds to next booking/payment step</t>
  </si>
  <si>
    <t>OTP was not received, so no valid OTP was available.</t>
  </si>
  <si>
    <t>TC: 059</t>
  </si>
  <si>
    <t>Invalid OTP rejection</t>
  </si>
  <si>
    <t>1. Enter incorrect 6-digit OTP
2. Click Verify"</t>
  </si>
  <si>
    <t>000000 or approved invalid OTP</t>
  </si>
  <si>
    <t>Clear invalid/incorrect OTP error; booking not confirmed;</t>
  </si>
  <si>
    <t>OTP screen could not be reached because OTP was not delivered.</t>
  </si>
  <si>
    <t>TC: 060</t>
  </si>
  <si>
    <t>Resend OTP and expiry</t>
  </si>
  <si>
    <t>1. Request resend
2. Observe cooldown
3. Enter expired OTP
4. Enter latest OTP"</t>
  </si>
  <si>
    <t>Expired OTP and latest OTP</t>
  </si>
  <si>
    <t>Cooldown/rate limit shown</t>
  </si>
  <si>
    <t>TC: 061</t>
  </si>
  <si>
    <t>Booking not created before verification</t>
  </si>
  <si>
    <t>1. Stop at OTP verification
2. Check customer/admin booking list and payment status"</t>
  </si>
  <si>
    <t>Booking reference not available</t>
  </si>
  <si>
    <t>No confirmed booking</t>
  </si>
  <si>
    <t>must be verified by backend/admin after fix.</t>
  </si>
  <si>
    <t>TC: 062</t>
  </si>
  <si>
    <t>Package booking summary renders correctly</t>
  </si>
  <si>
    <t>1. Open Confirm your Booking. 2. Verify all booking values. 3. Verify subtotal and total.</t>
  </si>
  <si>
    <t>কমিউনিটি ডে ট্যুর: নুহাশপল্লীর পথে পথে; Nuhash Polli; 06–07 Oct 2026; Dhaka; 10 members; ৳12,000</t>
  </si>
  <si>
    <t>All displayed values match selected package and price calculation.</t>
  </si>
  <si>
    <t>Supplied screen shows matching values.</t>
  </si>
  <si>
    <t>TC: 063</t>
  </si>
  <si>
    <t>Package Booking / OTP</t>
  </si>
  <si>
    <t>Valid phone number OTP request</t>
  </si>
  <si>
    <t xml:space="preserve">
1. Enter phone. 2. Click Verify. 3. Wait for OTP. 4. Check SMS inbox.</t>
  </si>
  <si>
    <t>OTP delivered within SLA and OTP screen shown.</t>
  </si>
  <si>
    <t>Previous execution reported OTP was not received for the same phone.</t>
  </si>
  <si>
    <t>TC: 064</t>
  </si>
  <si>
    <t>Invalid phone number</t>
  </si>
  <si>
    <t xml:space="preserve">
Enter abc123 and click Verify.</t>
  </si>
  <si>
    <t>abc123</t>
  </si>
  <si>
    <t>Phone validation shown; no OTP or booking.</t>
  </si>
  <si>
    <t>Not run.</t>
  </si>
  <si>
    <t>TC: 065</t>
  </si>
  <si>
    <t>Correct OTP verification</t>
  </si>
  <si>
    <t xml:space="preserve">
Enter latest valid OTP and click Verify.</t>
  </si>
  <si>
    <t>OTP accepted once; continue to payment; booking values unchanged.</t>
  </si>
  <si>
    <t>OTP unavailable.</t>
  </si>
  <si>
    <t>TC: 066</t>
  </si>
  <si>
    <t>Package Booking / Coupon</t>
  </si>
  <si>
    <t>Valid coupon accepted</t>
  </si>
  <si>
    <t xml:space="preserve">
Enter valid coupon; click Apply; inspect price.</t>
  </si>
  <si>
    <t>Approved valid coupon</t>
  </si>
  <si>
    <t>Discount shown separately; total recalculated once.</t>
  </si>
  <si>
    <t>Coupon not supplied.</t>
  </si>
  <si>
    <t>TC: 067</t>
  </si>
  <si>
    <t>Invalid coupon code</t>
  </si>
  <si>
    <t xml:space="preserve">
Enter invalid coupon and click Apply.</t>
  </si>
  <si>
    <t>Invalid coupon</t>
  </si>
  <si>
    <t>Error shown; total remains ৳12,000.</t>
  </si>
  <si>
    <t>Approved invalid coupon required.</t>
  </si>
  <si>
    <t>TC: 068</t>
  </si>
  <si>
    <t>Positive / UI</t>
  </si>
  <si>
    <t>Going To Saint Martin schedule section is displayed</t>
  </si>
  <si>
    <t>1. Open Ship Booking.
2. Select Going To Saint Martin.
3. Open Choose a Schedule.</t>
  </si>
  <si>
    <t>Route: Going To Saint Martin; UI label: Choose a Schedule</t>
  </si>
  <si>
    <t>Schedule selector should be visible and available schedules should load when configured.</t>
  </si>
  <si>
    <t>Going To Saint Martin and Choose a Schedule sections were visible in the supplied booking screen. Schedule list content was not provided for independent verification.</t>
  </si>
  <si>
    <t>TC: 069</t>
  </si>
  <si>
    <t xml:space="preserve">Negative </t>
  </si>
  <si>
    <t>Return From Saint Martin shows no schedules</t>
  </si>
  <si>
    <t>1. Select Return From Saint Martin.
2. Inspect Choose a Schedule area.
3. Attempt to continue.</t>
  </si>
  <si>
    <t>Route: Return From Saint Martin</t>
  </si>
  <si>
    <t>If no schedule exists, system should clearly show no availability and prevent incomplete booking.</t>
  </si>
  <si>
    <t>The screen explicitly displayed “No schedules available.”</t>
  </si>
  <si>
    <t>TC: 070</t>
  </si>
  <si>
    <t>Booking request with blank required passenger fields</t>
  </si>
  <si>
    <t>1. Select an available schedule if present.
2. Leave Passenger Name, Mobile, Gender, DoB, NID, E-Mail and Seat Selection blank.
3. Click Booking request.</t>
  </si>
  <si>
    <t>Blank required fields; phone placeholder +88</t>
  </si>
  <si>
    <t>no booking request should be created.</t>
  </si>
  <si>
    <t>an available schedule/booking fixture was not supplied.</t>
  </si>
  <si>
    <t>TC: 071</t>
  </si>
  <si>
    <t>Recovery</t>
  </si>
  <si>
    <t>Reset clears entered passenger and seat data</t>
  </si>
  <si>
    <t>1. Select a schedule.
2. Enter passenger details.
3. Select a seat.
4. Click Reset.</t>
  </si>
  <si>
    <t>Passenger: TEST_QA Ship Passenger; Mobile: 01610894542; Nationality: Bangladesh; Email: qa.ship.20261007@example.com</t>
  </si>
  <si>
    <t xml:space="preserve"> no request should be created.</t>
  </si>
  <si>
    <t xml:space="preserve"> seat fixture were not available for safe execution.</t>
  </si>
  <si>
    <t>TC: 072</t>
  </si>
  <si>
    <t>Valid ship booking request proceeds after phone verification</t>
  </si>
  <si>
    <t>1. Select a valid Going To Saint Martin schedule.
2. Fill passenger data.
3. Select an available seat.
4. Enter phone 01610894542.
5. Click Booking request/Verify.
6. Enter valid OTP if sent.</t>
  </si>
  <si>
    <t>Passenger: TEST_QA Ship Passenger; Mobile: 01610894542; Gender: approved value; DoB: 01/15/1995; Address: Dhaka, Bangladesh; NID: approved QA NID; Nationality: Bangladesh; Reference: TEST_QA; Email: qa.ship.20261007@example.com; Seat: approved available seat</t>
  </si>
  <si>
    <t>Exactly one booking request is created</t>
  </si>
  <si>
    <t xml:space="preserve"> payment sandbox and admin verification were unavailable.</t>
  </si>
  <si>
    <t>Name: Md Uddin; Phone: +8801610894542
; Email: testmail200100@gmail.com; Password: Test1234@</t>
  </si>
  <si>
    <t>Name: Md Uddin; Phone: +8801756388158
; Email: testmail200100@gmail.com; Password: Test1234@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</si>
</sst>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1"/>
      <color rgb="FFFFFFFF"/>
      <name val="Calibri"/>
    </font>
    <font>
      <b/>
      <sz val="12"/>
      <color theme="1"/>
      <name val="Arial"/>
    </font>
    <font>
      <sz val="11"/>
      <color theme="1"/>
      <name val="Calibri"/>
    </font>
    <font>
      <sz val="10"/>
      <color theme="1"/>
      <name val="Arial"/>
    </font>
    <font>
      <b/>
      <sz val="10"/>
      <color rgb="FFFFFFFF"/>
      <name val="Arial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FF0000"/>
      <name val="System-ui"/>
    </font>
    <font>
      <b/>
      <sz val="11"/>
      <color theme="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0" fontId="6" fillId="0" borderId="0" xfId="0" applyFont="1"/>
    <xf numFmtId="0" fontId="8" fillId="0" borderId="1" xfId="0" applyFont="1" applyBorder="1"/>
    <xf numFmtId="0" fontId="9" fillId="4" borderId="1" xfId="0" applyFont="1" applyFill="1" applyBorder="1"/>
    <xf numFmtId="0" fontId="10" fillId="0" borderId="1" xfId="0" applyFont="1" applyBorder="1"/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1" fillId="5" borderId="1" xfId="0" applyFont="1" applyFill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11" fillId="0" borderId="0" xfId="0" applyFont="1"/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YvWZDS04L5SAjomGlpvQFrA3Ara8i4Nd/view?usp=drive_link" TargetMode="External"/><Relationship Id="rId2" Type="http://schemas.openxmlformats.org/officeDocument/2006/relationships/hyperlink" Target="https://drive.google.com/file/d/1_9HjnYGFNT-Nd-r-xbIdkSArAGTHovnU/view?usp=drive_link" TargetMode="External"/><Relationship Id="rId1" Type="http://schemas.openxmlformats.org/officeDocument/2006/relationships/hyperlink" Target="https://drive.google.com/file/d/1cCvlbE5MyGazpiy22jy_hIpndX9LGiq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E1" workbookViewId="0">
      <pane ySplit="1" topLeftCell="A2" activePane="bottomLeft" state="frozen"/>
      <selection pane="bottomLeft" activeCell="F3" sqref="F3"/>
    </sheetView>
  </sheetViews>
  <sheetFormatPr defaultColWidth="14.453125" defaultRowHeight="15" customHeight="1"/>
  <cols>
    <col min="1" max="1" width="14" customWidth="1"/>
    <col min="2" max="2" width="25" customWidth="1"/>
    <col min="3" max="3" width="14" customWidth="1"/>
    <col min="4" max="4" width="56" customWidth="1"/>
    <col min="5" max="8" width="57" customWidth="1"/>
    <col min="9" max="9" width="20" customWidth="1"/>
    <col min="10" max="29" width="8.7265625" customWidth="1"/>
  </cols>
  <sheetData>
    <row r="1" spans="1:9" ht="3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13</v>
      </c>
    </row>
    <row r="2" spans="1:9" ht="68.25" customHeight="1">
      <c r="A2" s="4" t="s">
        <v>16</v>
      </c>
      <c r="B2" s="4" t="s">
        <v>18</v>
      </c>
      <c r="C2" s="4" t="s">
        <v>19</v>
      </c>
      <c r="D2" s="4" t="s">
        <v>21</v>
      </c>
      <c r="E2" s="4" t="s">
        <v>22</v>
      </c>
      <c r="F2" s="4" t="s">
        <v>483</v>
      </c>
      <c r="G2" s="4" t="s">
        <v>23</v>
      </c>
      <c r="H2" s="4" t="s">
        <v>25</v>
      </c>
      <c r="I2" s="4" t="s">
        <v>27</v>
      </c>
    </row>
    <row r="3" spans="1:9" ht="68.25" customHeight="1">
      <c r="A3" s="4" t="s">
        <v>36</v>
      </c>
      <c r="B3" s="4" t="s">
        <v>18</v>
      </c>
      <c r="C3" s="4" t="s">
        <v>19</v>
      </c>
      <c r="D3" s="4" t="s">
        <v>39</v>
      </c>
      <c r="E3" s="4" t="s">
        <v>40</v>
      </c>
      <c r="F3" s="4" t="s">
        <v>484</v>
      </c>
      <c r="G3" s="4" t="s">
        <v>41</v>
      </c>
      <c r="H3" s="4" t="s">
        <v>42</v>
      </c>
      <c r="I3" s="4" t="s">
        <v>26</v>
      </c>
    </row>
    <row r="4" spans="1:9" ht="34.5" customHeight="1">
      <c r="A4" s="4" t="s">
        <v>47</v>
      </c>
      <c r="B4" s="4" t="s">
        <v>18</v>
      </c>
      <c r="C4" s="4" t="s">
        <v>19</v>
      </c>
      <c r="D4" s="4" t="s">
        <v>50</v>
      </c>
      <c r="E4" s="4" t="s">
        <v>52</v>
      </c>
      <c r="F4" s="4" t="s">
        <v>53</v>
      </c>
      <c r="G4" s="4" t="s">
        <v>55</v>
      </c>
      <c r="H4" s="4" t="s">
        <v>56</v>
      </c>
      <c r="I4" s="4" t="s">
        <v>27</v>
      </c>
    </row>
    <row r="5" spans="1:9" ht="34.5" customHeight="1">
      <c r="A5" s="4" t="s">
        <v>57</v>
      </c>
      <c r="B5" s="4" t="s">
        <v>18</v>
      </c>
      <c r="C5" s="4" t="s">
        <v>19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29</v>
      </c>
    </row>
    <row r="6" spans="1:9" ht="68.25" customHeight="1">
      <c r="A6" s="4" t="s">
        <v>63</v>
      </c>
      <c r="B6" s="4" t="s">
        <v>18</v>
      </c>
      <c r="C6" s="4" t="s">
        <v>19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27</v>
      </c>
    </row>
    <row r="7" spans="1:9" ht="68.25" customHeight="1">
      <c r="A7" s="4" t="s">
        <v>69</v>
      </c>
      <c r="B7" s="4" t="s">
        <v>18</v>
      </c>
      <c r="C7" s="4" t="s">
        <v>70</v>
      </c>
      <c r="D7" s="4" t="s">
        <v>71</v>
      </c>
      <c r="E7" s="4" t="s">
        <v>72</v>
      </c>
      <c r="F7" s="4" t="s">
        <v>73</v>
      </c>
      <c r="G7" s="4" t="s">
        <v>74</v>
      </c>
      <c r="H7" s="4" t="s">
        <v>75</v>
      </c>
      <c r="I7" s="4" t="s">
        <v>26</v>
      </c>
    </row>
    <row r="8" spans="1:9" ht="68.25" customHeight="1">
      <c r="A8" s="4" t="s">
        <v>76</v>
      </c>
      <c r="B8" s="4" t="s">
        <v>18</v>
      </c>
      <c r="C8" s="4" t="s">
        <v>70</v>
      </c>
      <c r="D8" s="4" t="s">
        <v>77</v>
      </c>
      <c r="E8" s="4" t="s">
        <v>78</v>
      </c>
      <c r="F8" s="4" t="s">
        <v>79</v>
      </c>
      <c r="G8" s="4" t="s">
        <v>80</v>
      </c>
      <c r="H8" s="7" t="s">
        <v>81</v>
      </c>
      <c r="I8" s="4" t="s">
        <v>26</v>
      </c>
    </row>
    <row r="9" spans="1:9" ht="23.25" customHeight="1">
      <c r="A9" s="4" t="s">
        <v>90</v>
      </c>
      <c r="B9" s="4" t="s">
        <v>18</v>
      </c>
      <c r="C9" s="4" t="s">
        <v>70</v>
      </c>
      <c r="D9" s="4" t="s">
        <v>93</v>
      </c>
      <c r="E9" s="4" t="s">
        <v>94</v>
      </c>
      <c r="F9" s="4" t="s">
        <v>95</v>
      </c>
      <c r="G9" s="4" t="s">
        <v>97</v>
      </c>
      <c r="H9" s="4" t="s">
        <v>98</v>
      </c>
      <c r="I9" s="4" t="s">
        <v>29</v>
      </c>
    </row>
    <row r="10" spans="1:9" ht="23.25" customHeight="1">
      <c r="A10" s="4" t="s">
        <v>100</v>
      </c>
      <c r="B10" s="4" t="s">
        <v>18</v>
      </c>
      <c r="C10" s="4" t="s">
        <v>70</v>
      </c>
      <c r="D10" s="4" t="s">
        <v>103</v>
      </c>
      <c r="E10" s="4" t="s">
        <v>104</v>
      </c>
      <c r="F10" s="4" t="s">
        <v>105</v>
      </c>
      <c r="G10" s="4" t="s">
        <v>107</v>
      </c>
      <c r="H10" s="4" t="s">
        <v>98</v>
      </c>
      <c r="I10" s="4" t="s">
        <v>29</v>
      </c>
    </row>
    <row r="11" spans="1:9" ht="68.25" customHeight="1">
      <c r="A11" s="4" t="s">
        <v>110</v>
      </c>
      <c r="B11" s="4" t="s">
        <v>18</v>
      </c>
      <c r="C11" s="4" t="s">
        <v>70</v>
      </c>
      <c r="D11" s="4" t="s">
        <v>111</v>
      </c>
      <c r="E11" s="4" t="s">
        <v>112</v>
      </c>
      <c r="F11" s="4" t="s">
        <v>113</v>
      </c>
      <c r="G11" s="4" t="s">
        <v>114</v>
      </c>
      <c r="H11" s="4" t="s">
        <v>98</v>
      </c>
      <c r="I11" s="4" t="s">
        <v>29</v>
      </c>
    </row>
    <row r="12" spans="1:9" ht="23.25" customHeight="1">
      <c r="A12" s="4" t="s">
        <v>117</v>
      </c>
      <c r="B12" s="4" t="s">
        <v>18</v>
      </c>
      <c r="C12" s="4" t="s">
        <v>70</v>
      </c>
      <c r="D12" s="4" t="s">
        <v>118</v>
      </c>
      <c r="E12" s="4" t="s">
        <v>120</v>
      </c>
      <c r="F12" s="4" t="s">
        <v>121</v>
      </c>
      <c r="G12" s="4" t="s">
        <v>122</v>
      </c>
      <c r="H12" s="4" t="s">
        <v>123</v>
      </c>
      <c r="I12" s="4" t="s">
        <v>26</v>
      </c>
    </row>
    <row r="13" spans="1:9" ht="34.5" customHeight="1">
      <c r="A13" s="4" t="s">
        <v>125</v>
      </c>
      <c r="B13" s="4" t="s">
        <v>18</v>
      </c>
      <c r="C13" s="4" t="s">
        <v>70</v>
      </c>
      <c r="D13" s="4" t="s">
        <v>126</v>
      </c>
      <c r="E13" s="4" t="s">
        <v>127</v>
      </c>
      <c r="F13" s="4" t="s">
        <v>128</v>
      </c>
      <c r="G13" s="4" t="s">
        <v>129</v>
      </c>
      <c r="H13" s="4" t="s">
        <v>123</v>
      </c>
      <c r="I13" s="4" t="s">
        <v>26</v>
      </c>
    </row>
    <row r="14" spans="1:9" ht="34.5" customHeight="1">
      <c r="A14" s="4" t="s">
        <v>131</v>
      </c>
      <c r="B14" s="4" t="s">
        <v>18</v>
      </c>
      <c r="C14" s="4" t="s">
        <v>70</v>
      </c>
      <c r="D14" s="4" t="s">
        <v>134</v>
      </c>
      <c r="E14" s="4" t="s">
        <v>136</v>
      </c>
      <c r="F14" s="4" t="s">
        <v>138</v>
      </c>
      <c r="G14" s="4" t="s">
        <v>140</v>
      </c>
      <c r="H14" s="4" t="s">
        <v>98</v>
      </c>
      <c r="I14" s="4" t="s">
        <v>29</v>
      </c>
    </row>
    <row r="15" spans="1:9" ht="45.75" customHeight="1">
      <c r="A15" s="4" t="s">
        <v>141</v>
      </c>
      <c r="B15" s="4" t="s">
        <v>89</v>
      </c>
      <c r="C15" s="4" t="s">
        <v>19</v>
      </c>
      <c r="D15" s="4" t="s">
        <v>142</v>
      </c>
      <c r="E15" s="4" t="s">
        <v>143</v>
      </c>
      <c r="F15" s="4" t="s">
        <v>144</v>
      </c>
      <c r="G15" s="4" t="s">
        <v>145</v>
      </c>
      <c r="H15" s="4" t="s">
        <v>145</v>
      </c>
      <c r="I15" s="4" t="s">
        <v>26</v>
      </c>
    </row>
    <row r="16" spans="1:9" ht="57" customHeight="1">
      <c r="A16" s="4" t="s">
        <v>146</v>
      </c>
      <c r="B16" s="4" t="s">
        <v>89</v>
      </c>
      <c r="C16" s="4" t="s">
        <v>19</v>
      </c>
      <c r="D16" s="4" t="s">
        <v>147</v>
      </c>
      <c r="E16" s="4" t="s">
        <v>148</v>
      </c>
      <c r="F16" s="4" t="s">
        <v>144</v>
      </c>
      <c r="G16" s="4" t="s">
        <v>149</v>
      </c>
      <c r="H16" s="4" t="s">
        <v>150</v>
      </c>
      <c r="I16" s="4" t="s">
        <v>26</v>
      </c>
    </row>
    <row r="17" spans="1:9" ht="57" customHeight="1">
      <c r="A17" s="4" t="s">
        <v>151</v>
      </c>
      <c r="B17" s="4" t="s">
        <v>89</v>
      </c>
      <c r="C17" s="4" t="s">
        <v>19</v>
      </c>
      <c r="D17" s="4" t="s">
        <v>152</v>
      </c>
      <c r="E17" s="4" t="s">
        <v>153</v>
      </c>
      <c r="F17" s="4" t="s">
        <v>144</v>
      </c>
      <c r="G17" s="4" t="s">
        <v>154</v>
      </c>
      <c r="H17" s="4" t="s">
        <v>155</v>
      </c>
      <c r="I17" s="4" t="s">
        <v>26</v>
      </c>
    </row>
    <row r="18" spans="1:9" ht="57" customHeight="1">
      <c r="A18" s="4" t="s">
        <v>156</v>
      </c>
      <c r="B18" s="4" t="s">
        <v>89</v>
      </c>
      <c r="C18" s="4" t="s">
        <v>19</v>
      </c>
      <c r="D18" s="4" t="s">
        <v>157</v>
      </c>
      <c r="E18" s="4" t="s">
        <v>158</v>
      </c>
      <c r="F18" s="4" t="s">
        <v>144</v>
      </c>
      <c r="G18" s="4" t="s">
        <v>159</v>
      </c>
      <c r="H18" s="4" t="s">
        <v>160</v>
      </c>
      <c r="I18" s="4" t="s">
        <v>26</v>
      </c>
    </row>
    <row r="19" spans="1:9" ht="23.25" customHeight="1">
      <c r="A19" s="4" t="s">
        <v>162</v>
      </c>
      <c r="B19" s="4" t="s">
        <v>89</v>
      </c>
      <c r="C19" s="4" t="s">
        <v>70</v>
      </c>
      <c r="D19" s="4" t="s">
        <v>163</v>
      </c>
      <c r="E19" s="4" t="s">
        <v>166</v>
      </c>
      <c r="F19" s="4" t="s">
        <v>167</v>
      </c>
      <c r="G19" s="4" t="s">
        <v>168</v>
      </c>
      <c r="H19" s="4" t="s">
        <v>170</v>
      </c>
      <c r="I19" s="4" t="s">
        <v>26</v>
      </c>
    </row>
    <row r="20" spans="1:9" ht="34.5" customHeight="1">
      <c r="A20" s="4" t="s">
        <v>174</v>
      </c>
      <c r="B20" s="4" t="s">
        <v>89</v>
      </c>
      <c r="C20" s="4" t="s">
        <v>70</v>
      </c>
      <c r="D20" s="4" t="s">
        <v>175</v>
      </c>
      <c r="E20" s="4" t="s">
        <v>176</v>
      </c>
      <c r="F20" s="4" t="s">
        <v>177</v>
      </c>
      <c r="G20" s="4" t="s">
        <v>178</v>
      </c>
      <c r="H20" s="4" t="s">
        <v>179</v>
      </c>
      <c r="I20" s="4" t="s">
        <v>26</v>
      </c>
    </row>
    <row r="21" spans="1:9" ht="34.5" customHeight="1">
      <c r="A21" s="4" t="s">
        <v>180</v>
      </c>
      <c r="B21" s="4" t="s">
        <v>89</v>
      </c>
      <c r="C21" s="4" t="s">
        <v>70</v>
      </c>
      <c r="D21" s="4" t="s">
        <v>181</v>
      </c>
      <c r="E21" s="4" t="s">
        <v>182</v>
      </c>
      <c r="F21" s="4" t="s">
        <v>183</v>
      </c>
      <c r="G21" s="4" t="s">
        <v>184</v>
      </c>
      <c r="H21" s="4" t="s">
        <v>185</v>
      </c>
      <c r="I21" s="4" t="s">
        <v>26</v>
      </c>
    </row>
    <row r="22" spans="1:9" ht="23.25" customHeight="1">
      <c r="A22" s="4" t="s">
        <v>186</v>
      </c>
      <c r="B22" s="4" t="s">
        <v>89</v>
      </c>
      <c r="C22" s="4" t="s">
        <v>70</v>
      </c>
      <c r="D22" s="4" t="s">
        <v>187</v>
      </c>
      <c r="E22" s="4" t="s">
        <v>188</v>
      </c>
      <c r="F22" s="4" t="s">
        <v>189</v>
      </c>
      <c r="G22" s="4" t="s">
        <v>190</v>
      </c>
      <c r="H22" s="4" t="s">
        <v>191</v>
      </c>
      <c r="I22" s="4" t="s">
        <v>26</v>
      </c>
    </row>
    <row r="23" spans="1:9" ht="34.5" customHeight="1">
      <c r="A23" s="4" t="s">
        <v>192</v>
      </c>
      <c r="B23" s="4" t="s">
        <v>89</v>
      </c>
      <c r="C23" s="4" t="s">
        <v>70</v>
      </c>
      <c r="D23" s="4" t="s">
        <v>193</v>
      </c>
      <c r="E23" s="4" t="s">
        <v>194</v>
      </c>
      <c r="F23" s="4" t="s">
        <v>195</v>
      </c>
      <c r="G23" s="4" t="s">
        <v>196</v>
      </c>
      <c r="H23" s="4" t="s">
        <v>197</v>
      </c>
      <c r="I23" s="4" t="s">
        <v>26</v>
      </c>
    </row>
    <row r="24" spans="1:9" ht="79.5" customHeight="1">
      <c r="A24" s="4" t="s">
        <v>198</v>
      </c>
      <c r="B24" s="4" t="s">
        <v>89</v>
      </c>
      <c r="C24" s="4" t="s">
        <v>70</v>
      </c>
      <c r="D24" s="4" t="s">
        <v>199</v>
      </c>
      <c r="E24" s="4" t="s">
        <v>200</v>
      </c>
      <c r="F24" s="4" t="s">
        <v>144</v>
      </c>
      <c r="G24" s="4" t="s">
        <v>201</v>
      </c>
      <c r="H24" s="4" t="s">
        <v>202</v>
      </c>
      <c r="I24" s="4" t="s">
        <v>26</v>
      </c>
    </row>
    <row r="25" spans="1:9" ht="45.75" customHeight="1">
      <c r="A25" s="4" t="s">
        <v>204</v>
      </c>
      <c r="B25" s="4" t="s">
        <v>89</v>
      </c>
      <c r="C25" s="4" t="s">
        <v>205</v>
      </c>
      <c r="D25" s="4" t="s">
        <v>206</v>
      </c>
      <c r="E25" s="4" t="s">
        <v>207</v>
      </c>
      <c r="F25" s="4" t="s">
        <v>208</v>
      </c>
      <c r="G25" s="4" t="s">
        <v>209</v>
      </c>
      <c r="H25" s="4" t="s">
        <v>210</v>
      </c>
      <c r="I25" s="4" t="s">
        <v>26</v>
      </c>
    </row>
    <row r="26" spans="1:9" ht="45.75" customHeight="1">
      <c r="A26" s="13" t="s">
        <v>211</v>
      </c>
      <c r="B26" s="4" t="s">
        <v>137</v>
      </c>
      <c r="C26" s="4" t="s">
        <v>19</v>
      </c>
      <c r="D26" s="4" t="s">
        <v>212</v>
      </c>
      <c r="E26" s="4" t="s">
        <v>213</v>
      </c>
      <c r="F26" s="4" t="s">
        <v>214</v>
      </c>
      <c r="G26" s="4" t="s">
        <v>215</v>
      </c>
      <c r="H26" s="4" t="s">
        <v>216</v>
      </c>
      <c r="I26" s="4" t="s">
        <v>28</v>
      </c>
    </row>
    <row r="27" spans="1:9" ht="45.75" customHeight="1">
      <c r="A27" s="4" t="s">
        <v>217</v>
      </c>
      <c r="B27" s="4" t="s">
        <v>137</v>
      </c>
      <c r="C27" s="4" t="s">
        <v>19</v>
      </c>
      <c r="D27" s="4" t="s">
        <v>218</v>
      </c>
      <c r="E27" s="4" t="s">
        <v>219</v>
      </c>
      <c r="F27" s="4" t="s">
        <v>53</v>
      </c>
      <c r="G27" s="4" t="s">
        <v>220</v>
      </c>
      <c r="H27" s="4" t="s">
        <v>221</v>
      </c>
      <c r="I27" s="4" t="s">
        <v>28</v>
      </c>
    </row>
    <row r="28" spans="1:9" ht="45.75" customHeight="1">
      <c r="A28" s="4" t="s">
        <v>222</v>
      </c>
      <c r="B28" s="4" t="s">
        <v>137</v>
      </c>
      <c r="C28" s="4" t="s">
        <v>19</v>
      </c>
      <c r="D28" s="4" t="s">
        <v>223</v>
      </c>
      <c r="E28" s="4" t="s">
        <v>224</v>
      </c>
      <c r="F28" s="4" t="s">
        <v>225</v>
      </c>
      <c r="G28" s="4" t="s">
        <v>226</v>
      </c>
      <c r="H28" s="4" t="s">
        <v>227</v>
      </c>
      <c r="I28" s="4" t="s">
        <v>28</v>
      </c>
    </row>
    <row r="29" spans="1:9" ht="45.75" customHeight="1">
      <c r="A29" s="4" t="s">
        <v>228</v>
      </c>
      <c r="B29" s="4" t="s">
        <v>137</v>
      </c>
      <c r="C29" s="4" t="s">
        <v>19</v>
      </c>
      <c r="D29" s="4" t="s">
        <v>229</v>
      </c>
      <c r="E29" s="4" t="s">
        <v>230</v>
      </c>
      <c r="F29" s="4" t="s">
        <v>231</v>
      </c>
      <c r="G29" s="4" t="s">
        <v>232</v>
      </c>
      <c r="H29" s="4" t="s">
        <v>233</v>
      </c>
      <c r="I29" s="4" t="s">
        <v>28</v>
      </c>
    </row>
    <row r="30" spans="1:9" ht="23.25" customHeight="1">
      <c r="A30" s="4" t="s">
        <v>234</v>
      </c>
      <c r="B30" s="4" t="s">
        <v>137</v>
      </c>
      <c r="C30" s="4" t="s">
        <v>70</v>
      </c>
      <c r="D30" s="4" t="s">
        <v>235</v>
      </c>
      <c r="E30" s="4" t="s">
        <v>236</v>
      </c>
      <c r="F30" s="4" t="s">
        <v>183</v>
      </c>
      <c r="G30" s="4" t="s">
        <v>237</v>
      </c>
      <c r="H30" s="4" t="s">
        <v>238</v>
      </c>
      <c r="I30" s="4" t="s">
        <v>29</v>
      </c>
    </row>
    <row r="31" spans="1:9" ht="23.25" customHeight="1">
      <c r="A31" s="4" t="s">
        <v>239</v>
      </c>
      <c r="B31" s="4" t="s">
        <v>137</v>
      </c>
      <c r="C31" s="4" t="s">
        <v>70</v>
      </c>
      <c r="D31" s="4" t="s">
        <v>240</v>
      </c>
      <c r="E31" s="4" t="s">
        <v>241</v>
      </c>
      <c r="F31" s="4" t="s">
        <v>167</v>
      </c>
      <c r="G31" s="4" t="s">
        <v>242</v>
      </c>
      <c r="H31" s="4" t="s">
        <v>243</v>
      </c>
      <c r="I31" s="4" t="s">
        <v>29</v>
      </c>
    </row>
    <row r="32" spans="1:9" ht="23.25" customHeight="1">
      <c r="A32" s="4" t="s">
        <v>244</v>
      </c>
      <c r="B32" s="4" t="s">
        <v>137</v>
      </c>
      <c r="C32" s="4" t="s">
        <v>70</v>
      </c>
      <c r="D32" s="4" t="s">
        <v>245</v>
      </c>
      <c r="E32" s="4" t="s">
        <v>246</v>
      </c>
      <c r="F32" s="4" t="s">
        <v>121</v>
      </c>
      <c r="G32" s="4" t="s">
        <v>247</v>
      </c>
      <c r="H32" s="4" t="s">
        <v>248</v>
      </c>
      <c r="I32" s="4" t="s">
        <v>29</v>
      </c>
    </row>
    <row r="33" spans="1:9" ht="23.25" customHeight="1">
      <c r="A33" s="4" t="s">
        <v>250</v>
      </c>
      <c r="B33" s="4" t="s">
        <v>137</v>
      </c>
      <c r="C33" s="4" t="s">
        <v>70</v>
      </c>
      <c r="D33" s="4" t="s">
        <v>251</v>
      </c>
      <c r="E33" s="4" t="s">
        <v>252</v>
      </c>
      <c r="F33" s="4" t="s">
        <v>128</v>
      </c>
      <c r="G33" s="4" t="s">
        <v>253</v>
      </c>
      <c r="H33" s="4" t="s">
        <v>254</v>
      </c>
      <c r="I33" s="4" t="s">
        <v>28</v>
      </c>
    </row>
    <row r="34" spans="1:9" ht="45.75" customHeight="1">
      <c r="A34" s="4" t="s">
        <v>255</v>
      </c>
      <c r="B34" s="4" t="s">
        <v>137</v>
      </c>
      <c r="C34" s="4" t="s">
        <v>70</v>
      </c>
      <c r="D34" s="4" t="s">
        <v>256</v>
      </c>
      <c r="E34" s="4" t="s">
        <v>257</v>
      </c>
      <c r="F34" s="4" t="s">
        <v>258</v>
      </c>
      <c r="G34" s="4" t="s">
        <v>259</v>
      </c>
      <c r="H34" s="4" t="s">
        <v>260</v>
      </c>
      <c r="I34" s="4" t="s">
        <v>26</v>
      </c>
    </row>
    <row r="35" spans="1:9" ht="102" customHeight="1">
      <c r="A35" s="4" t="s">
        <v>261</v>
      </c>
      <c r="B35" s="4" t="s">
        <v>165</v>
      </c>
      <c r="C35" s="4" t="s">
        <v>19</v>
      </c>
      <c r="D35" s="4" t="s">
        <v>262</v>
      </c>
      <c r="E35" s="4" t="s">
        <v>263</v>
      </c>
      <c r="F35" s="4" t="s">
        <v>264</v>
      </c>
      <c r="G35" s="4" t="s">
        <v>265</v>
      </c>
      <c r="H35" s="4" t="s">
        <v>266</v>
      </c>
      <c r="I35" s="4" t="s">
        <v>26</v>
      </c>
    </row>
    <row r="36" spans="1:9" ht="90.75" customHeight="1">
      <c r="A36" s="4" t="s">
        <v>267</v>
      </c>
      <c r="B36" s="4" t="s">
        <v>165</v>
      </c>
      <c r="C36" s="4" t="s">
        <v>19</v>
      </c>
      <c r="D36" s="4" t="s">
        <v>268</v>
      </c>
      <c r="E36" s="4" t="s">
        <v>269</v>
      </c>
      <c r="F36" s="4" t="s">
        <v>270</v>
      </c>
      <c r="G36" s="4" t="s">
        <v>271</v>
      </c>
      <c r="H36" s="4" t="s">
        <v>266</v>
      </c>
      <c r="I36" s="4" t="s">
        <v>26</v>
      </c>
    </row>
    <row r="37" spans="1:9" ht="57" customHeight="1">
      <c r="A37" s="4" t="s">
        <v>272</v>
      </c>
      <c r="B37" s="4" t="s">
        <v>165</v>
      </c>
      <c r="C37" s="4" t="s">
        <v>19</v>
      </c>
      <c r="D37" s="4" t="s">
        <v>273</v>
      </c>
      <c r="E37" s="4" t="s">
        <v>274</v>
      </c>
      <c r="F37" s="4" t="s">
        <v>275</v>
      </c>
      <c r="G37" s="4" t="s">
        <v>276</v>
      </c>
      <c r="H37" s="4" t="s">
        <v>266</v>
      </c>
      <c r="I37" s="4" t="s">
        <v>27</v>
      </c>
    </row>
    <row r="38" spans="1:9" ht="57" customHeight="1">
      <c r="A38" s="4" t="s">
        <v>272</v>
      </c>
      <c r="B38" s="4" t="s">
        <v>165</v>
      </c>
      <c r="C38" s="4" t="s">
        <v>70</v>
      </c>
      <c r="D38" s="4" t="s">
        <v>277</v>
      </c>
      <c r="E38" s="4" t="s">
        <v>278</v>
      </c>
      <c r="F38" s="4" t="s">
        <v>167</v>
      </c>
      <c r="G38" s="4" t="s">
        <v>280</v>
      </c>
      <c r="H38" s="4" t="s">
        <v>170</v>
      </c>
      <c r="I38" s="4" t="s">
        <v>26</v>
      </c>
    </row>
    <row r="39" spans="1:9" ht="79.5" customHeight="1">
      <c r="A39" s="4" t="s">
        <v>281</v>
      </c>
      <c r="B39" s="4" t="s">
        <v>165</v>
      </c>
      <c r="C39" s="4" t="s">
        <v>70</v>
      </c>
      <c r="D39" s="4" t="s">
        <v>282</v>
      </c>
      <c r="E39" s="4" t="s">
        <v>283</v>
      </c>
      <c r="F39" s="4" t="s">
        <v>284</v>
      </c>
      <c r="G39" s="4" t="s">
        <v>285</v>
      </c>
      <c r="H39" s="4" t="s">
        <v>286</v>
      </c>
      <c r="I39" s="4" t="s">
        <v>26</v>
      </c>
    </row>
    <row r="40" spans="1:9" ht="57" customHeight="1">
      <c r="A40" s="4" t="s">
        <v>287</v>
      </c>
      <c r="B40" s="4" t="s">
        <v>165</v>
      </c>
      <c r="C40" s="4" t="s">
        <v>70</v>
      </c>
      <c r="D40" s="4" t="s">
        <v>288</v>
      </c>
      <c r="E40" s="4" t="s">
        <v>289</v>
      </c>
      <c r="F40" s="4" t="s">
        <v>79</v>
      </c>
      <c r="G40" s="4" t="s">
        <v>290</v>
      </c>
      <c r="H40" s="15" t="s">
        <v>291</v>
      </c>
      <c r="I40" s="4" t="s">
        <v>26</v>
      </c>
    </row>
    <row r="41" spans="1:9" ht="57" customHeight="1">
      <c r="A41" s="4" t="s">
        <v>292</v>
      </c>
      <c r="B41" s="4" t="s">
        <v>165</v>
      </c>
      <c r="C41" s="4" t="s">
        <v>70</v>
      </c>
      <c r="D41" s="4" t="s">
        <v>293</v>
      </c>
      <c r="E41" s="4" t="s">
        <v>294</v>
      </c>
      <c r="F41" s="4" t="s">
        <v>295</v>
      </c>
      <c r="G41" s="4" t="s">
        <v>296</v>
      </c>
      <c r="H41" s="4" t="s">
        <v>297</v>
      </c>
      <c r="I41" s="4" t="s">
        <v>26</v>
      </c>
    </row>
    <row r="42" spans="1:9" ht="57" customHeight="1">
      <c r="A42" s="4" t="s">
        <v>298</v>
      </c>
      <c r="B42" s="4" t="s">
        <v>165</v>
      </c>
      <c r="C42" s="4" t="s">
        <v>70</v>
      </c>
      <c r="D42" s="4" t="s">
        <v>299</v>
      </c>
      <c r="E42" s="4" t="s">
        <v>300</v>
      </c>
      <c r="F42" s="4" t="s">
        <v>301</v>
      </c>
      <c r="G42" s="4" t="s">
        <v>302</v>
      </c>
      <c r="H42" s="15" t="s">
        <v>303</v>
      </c>
      <c r="I42" s="4" t="s">
        <v>26</v>
      </c>
    </row>
    <row r="43" spans="1:9" ht="45.75" customHeight="1">
      <c r="A43" s="4" t="s">
        <v>305</v>
      </c>
      <c r="B43" s="4" t="s">
        <v>203</v>
      </c>
      <c r="C43" s="4" t="s">
        <v>19</v>
      </c>
      <c r="D43" s="4" t="s">
        <v>306</v>
      </c>
      <c r="E43" s="4" t="s">
        <v>307</v>
      </c>
      <c r="F43" s="4" t="s">
        <v>308</v>
      </c>
      <c r="G43" s="4" t="s">
        <v>309</v>
      </c>
      <c r="H43" s="4" t="s">
        <v>310</v>
      </c>
      <c r="I43" s="4" t="s">
        <v>26</v>
      </c>
    </row>
    <row r="44" spans="1:9" ht="45.75" customHeight="1">
      <c r="A44" s="4" t="s">
        <v>311</v>
      </c>
      <c r="B44" s="4" t="s">
        <v>203</v>
      </c>
      <c r="C44" s="4" t="s">
        <v>70</v>
      </c>
      <c r="D44" s="4" t="s">
        <v>277</v>
      </c>
      <c r="E44" s="4" t="s">
        <v>278</v>
      </c>
      <c r="F44" s="4" t="s">
        <v>167</v>
      </c>
      <c r="G44" s="4" t="s">
        <v>312</v>
      </c>
      <c r="H44" s="4" t="s">
        <v>310</v>
      </c>
      <c r="I44" s="4" t="s">
        <v>26</v>
      </c>
    </row>
    <row r="45" spans="1:9" ht="45.75" customHeight="1">
      <c r="A45" s="4" t="s">
        <v>313</v>
      </c>
      <c r="B45" s="4" t="s">
        <v>203</v>
      </c>
      <c r="C45" s="4" t="s">
        <v>70</v>
      </c>
      <c r="D45" s="4" t="s">
        <v>293</v>
      </c>
      <c r="E45" s="4" t="s">
        <v>314</v>
      </c>
      <c r="F45" s="4" t="s">
        <v>315</v>
      </c>
      <c r="G45" s="4" t="s">
        <v>316</v>
      </c>
      <c r="H45" s="4" t="s">
        <v>310</v>
      </c>
      <c r="I45" s="4" t="s">
        <v>26</v>
      </c>
    </row>
    <row r="46" spans="1:9" ht="45.75" customHeight="1">
      <c r="A46" s="4" t="s">
        <v>317</v>
      </c>
      <c r="B46" s="4" t="s">
        <v>203</v>
      </c>
      <c r="C46" s="4" t="s">
        <v>70</v>
      </c>
      <c r="D46" s="4" t="s">
        <v>318</v>
      </c>
      <c r="E46" s="4" t="s">
        <v>319</v>
      </c>
      <c r="F46" s="4" t="s">
        <v>79</v>
      </c>
      <c r="G46" s="4" t="s">
        <v>320</v>
      </c>
      <c r="H46" s="4" t="s">
        <v>310</v>
      </c>
      <c r="I46" s="4" t="s">
        <v>26</v>
      </c>
    </row>
    <row r="47" spans="1:9" ht="57" customHeight="1">
      <c r="A47" s="4" t="s">
        <v>321</v>
      </c>
      <c r="B47" s="4" t="s">
        <v>249</v>
      </c>
      <c r="C47" s="4" t="s">
        <v>19</v>
      </c>
      <c r="D47" s="4" t="s">
        <v>322</v>
      </c>
      <c r="E47" s="4" t="s">
        <v>323</v>
      </c>
      <c r="F47" s="4" t="s">
        <v>324</v>
      </c>
      <c r="G47" s="4" t="s">
        <v>325</v>
      </c>
      <c r="H47" s="4" t="s">
        <v>326</v>
      </c>
      <c r="I47" s="4" t="s">
        <v>26</v>
      </c>
    </row>
    <row r="48" spans="1:9" ht="68.25" customHeight="1">
      <c r="A48" s="4" t="s">
        <v>327</v>
      </c>
      <c r="B48" s="4" t="s">
        <v>249</v>
      </c>
      <c r="C48" s="4" t="s">
        <v>19</v>
      </c>
      <c r="D48" s="4" t="s">
        <v>328</v>
      </c>
      <c r="E48" s="4" t="s">
        <v>329</v>
      </c>
      <c r="F48" s="4" t="s">
        <v>330</v>
      </c>
      <c r="G48" s="4" t="s">
        <v>331</v>
      </c>
      <c r="H48" s="4" t="s">
        <v>326</v>
      </c>
      <c r="I48" s="4" t="s">
        <v>26</v>
      </c>
    </row>
    <row r="49" spans="1:9" ht="102" customHeight="1">
      <c r="A49" s="4" t="s">
        <v>332</v>
      </c>
      <c r="B49" s="4" t="s">
        <v>249</v>
      </c>
      <c r="C49" s="4" t="s">
        <v>19</v>
      </c>
      <c r="D49" s="4" t="s">
        <v>333</v>
      </c>
      <c r="E49" s="4" t="s">
        <v>334</v>
      </c>
      <c r="F49" s="4" t="s">
        <v>335</v>
      </c>
      <c r="G49" s="4" t="s">
        <v>336</v>
      </c>
      <c r="H49" s="4" t="s">
        <v>326</v>
      </c>
      <c r="I49" s="4" t="s">
        <v>26</v>
      </c>
    </row>
    <row r="50" spans="1:9" ht="79.5" customHeight="1">
      <c r="A50" s="4" t="s">
        <v>337</v>
      </c>
      <c r="B50" s="4" t="s">
        <v>249</v>
      </c>
      <c r="C50" s="4" t="s">
        <v>19</v>
      </c>
      <c r="D50" s="4" t="s">
        <v>338</v>
      </c>
      <c r="E50" s="4" t="s">
        <v>339</v>
      </c>
      <c r="F50" s="4" t="s">
        <v>340</v>
      </c>
      <c r="G50" s="4" t="s">
        <v>341</v>
      </c>
      <c r="H50" s="4" t="s">
        <v>326</v>
      </c>
      <c r="I50" s="4" t="s">
        <v>26</v>
      </c>
    </row>
    <row r="51" spans="1:9" ht="57" customHeight="1">
      <c r="A51" s="4" t="s">
        <v>343</v>
      </c>
      <c r="B51" s="4" t="s">
        <v>279</v>
      </c>
      <c r="C51" s="4" t="s">
        <v>19</v>
      </c>
      <c r="D51" s="4" t="s">
        <v>344</v>
      </c>
      <c r="E51" s="4" t="s">
        <v>345</v>
      </c>
      <c r="F51" s="4" t="s">
        <v>346</v>
      </c>
      <c r="G51" s="4" t="s">
        <v>347</v>
      </c>
      <c r="H51" s="4" t="s">
        <v>326</v>
      </c>
      <c r="I51" s="4" t="s">
        <v>26</v>
      </c>
    </row>
    <row r="52" spans="1:9" ht="45.75" customHeight="1">
      <c r="A52" s="4" t="s">
        <v>349</v>
      </c>
      <c r="B52" s="4" t="s">
        <v>279</v>
      </c>
      <c r="C52" s="4" t="s">
        <v>19</v>
      </c>
      <c r="D52" s="4" t="s">
        <v>350</v>
      </c>
      <c r="E52" s="4" t="s">
        <v>351</v>
      </c>
      <c r="F52" s="4" t="s">
        <v>352</v>
      </c>
      <c r="G52" s="4" t="s">
        <v>353</v>
      </c>
      <c r="H52" s="4"/>
      <c r="I52" s="4" t="s">
        <v>26</v>
      </c>
    </row>
    <row r="53" spans="1:9" ht="34.5" customHeight="1">
      <c r="A53" s="4" t="s">
        <v>355</v>
      </c>
      <c r="B53" s="4" t="s">
        <v>279</v>
      </c>
      <c r="C53" s="4" t="s">
        <v>70</v>
      </c>
      <c r="D53" s="4" t="s">
        <v>356</v>
      </c>
      <c r="E53" s="4" t="s">
        <v>357</v>
      </c>
      <c r="F53" s="4" t="s">
        <v>358</v>
      </c>
      <c r="G53" s="4" t="s">
        <v>359</v>
      </c>
      <c r="H53" s="4"/>
      <c r="I53" s="4" t="s">
        <v>26</v>
      </c>
    </row>
    <row r="54" spans="1:9" ht="45.75" customHeight="1">
      <c r="A54" s="4" t="s">
        <v>360</v>
      </c>
      <c r="B54" s="4" t="s">
        <v>279</v>
      </c>
      <c r="C54" s="4" t="s">
        <v>70</v>
      </c>
      <c r="D54" s="4" t="s">
        <v>361</v>
      </c>
      <c r="E54" s="4" t="s">
        <v>362</v>
      </c>
      <c r="F54" s="4" t="s">
        <v>363</v>
      </c>
      <c r="G54" s="4" t="s">
        <v>364</v>
      </c>
      <c r="H54" s="4"/>
      <c r="I54" s="4" t="s">
        <v>26</v>
      </c>
    </row>
    <row r="55" spans="1:9" ht="57" customHeight="1">
      <c r="A55" s="4" t="s">
        <v>365</v>
      </c>
      <c r="B55" s="4" t="s">
        <v>304</v>
      </c>
      <c r="C55" s="4" t="s">
        <v>19</v>
      </c>
      <c r="D55" s="4" t="s">
        <v>366</v>
      </c>
      <c r="E55" s="4" t="s">
        <v>367</v>
      </c>
      <c r="F55" s="4" t="s">
        <v>368</v>
      </c>
      <c r="G55" s="4" t="s">
        <v>369</v>
      </c>
      <c r="H55" s="4"/>
      <c r="I55" s="4" t="s">
        <v>26</v>
      </c>
    </row>
    <row r="56" spans="1:9" ht="68.25" customHeight="1">
      <c r="A56" s="4" t="s">
        <v>370</v>
      </c>
      <c r="B56" s="4" t="s">
        <v>304</v>
      </c>
      <c r="C56" s="4" t="s">
        <v>19</v>
      </c>
      <c r="D56" s="4" t="s">
        <v>371</v>
      </c>
      <c r="E56" s="4" t="s">
        <v>372</v>
      </c>
      <c r="F56" s="4" t="s">
        <v>373</v>
      </c>
      <c r="G56" s="4" t="s">
        <v>374</v>
      </c>
      <c r="H56" s="4"/>
      <c r="I56" s="4" t="s">
        <v>26</v>
      </c>
    </row>
    <row r="57" spans="1:9" ht="34.5" customHeight="1">
      <c r="A57" s="4" t="s">
        <v>375</v>
      </c>
      <c r="B57" s="4" t="s">
        <v>304</v>
      </c>
      <c r="C57" s="4" t="s">
        <v>70</v>
      </c>
      <c r="D57" s="4" t="s">
        <v>376</v>
      </c>
      <c r="E57" s="4" t="s">
        <v>377</v>
      </c>
      <c r="F57" s="4" t="s">
        <v>378</v>
      </c>
      <c r="G57" s="4" t="s">
        <v>379</v>
      </c>
      <c r="H57" s="4"/>
      <c r="I57" s="4" t="s">
        <v>26</v>
      </c>
    </row>
    <row r="58" spans="1:9" ht="57" customHeight="1">
      <c r="A58" s="4" t="s">
        <v>380</v>
      </c>
      <c r="B58" s="4" t="s">
        <v>304</v>
      </c>
      <c r="C58" s="4" t="s">
        <v>70</v>
      </c>
      <c r="D58" s="4" t="s">
        <v>381</v>
      </c>
      <c r="E58" s="4" t="s">
        <v>382</v>
      </c>
      <c r="F58" s="4" t="s">
        <v>383</v>
      </c>
      <c r="G58" s="4" t="s">
        <v>384</v>
      </c>
      <c r="H58" s="4"/>
      <c r="I58" s="4" t="s">
        <v>26</v>
      </c>
    </row>
    <row r="59" spans="1:9" ht="15.75" customHeight="1">
      <c r="A59" s="9" t="s">
        <v>385</v>
      </c>
      <c r="B59" s="17" t="s">
        <v>342</v>
      </c>
      <c r="C59" s="9"/>
      <c r="D59" s="17" t="s">
        <v>386</v>
      </c>
      <c r="E59" s="9" t="s">
        <v>387</v>
      </c>
      <c r="F59" s="18" t="s">
        <v>388</v>
      </c>
      <c r="G59" s="17" t="s">
        <v>389</v>
      </c>
      <c r="H59" s="18" t="s">
        <v>390</v>
      </c>
      <c r="I59" s="4" t="s">
        <v>27</v>
      </c>
    </row>
    <row r="60" spans="1:9" ht="15.75" customHeight="1">
      <c r="A60" s="9" t="s">
        <v>391</v>
      </c>
      <c r="B60" s="17" t="s">
        <v>342</v>
      </c>
      <c r="C60" s="9"/>
      <c r="D60" s="17" t="s">
        <v>392</v>
      </c>
      <c r="E60" s="9" t="s">
        <v>393</v>
      </c>
      <c r="F60" s="17" t="s">
        <v>394</v>
      </c>
      <c r="G60" s="17" t="s">
        <v>395</v>
      </c>
      <c r="H60" s="17" t="s">
        <v>396</v>
      </c>
      <c r="I60" s="4" t="s">
        <v>27</v>
      </c>
    </row>
    <row r="61" spans="1:9" ht="15.75" customHeight="1">
      <c r="A61" s="9" t="s">
        <v>397</v>
      </c>
      <c r="B61" s="17" t="s">
        <v>342</v>
      </c>
      <c r="C61" s="9"/>
      <c r="D61" s="17" t="s">
        <v>398</v>
      </c>
      <c r="E61" s="9" t="s">
        <v>399</v>
      </c>
      <c r="F61" s="17" t="s">
        <v>400</v>
      </c>
      <c r="G61" s="17" t="s">
        <v>401</v>
      </c>
      <c r="H61" s="18" t="s">
        <v>402</v>
      </c>
      <c r="I61" s="4" t="s">
        <v>26</v>
      </c>
    </row>
    <row r="62" spans="1:9" ht="15.75" customHeight="1">
      <c r="A62" s="9" t="s">
        <v>403</v>
      </c>
      <c r="B62" s="17" t="s">
        <v>342</v>
      </c>
      <c r="C62" s="9"/>
      <c r="D62" s="17" t="s">
        <v>404</v>
      </c>
      <c r="E62" s="9" t="s">
        <v>405</v>
      </c>
      <c r="F62" s="17" t="s">
        <v>406</v>
      </c>
      <c r="G62" s="17" t="s">
        <v>407</v>
      </c>
      <c r="H62" s="18" t="s">
        <v>402</v>
      </c>
      <c r="I62" s="4" t="s">
        <v>26</v>
      </c>
    </row>
    <row r="63" spans="1:9" ht="15.75" customHeight="1">
      <c r="A63" s="9" t="s">
        <v>408</v>
      </c>
      <c r="B63" s="17" t="s">
        <v>342</v>
      </c>
      <c r="C63" s="9"/>
      <c r="D63" s="17" t="s">
        <v>409</v>
      </c>
      <c r="E63" s="9" t="s">
        <v>410</v>
      </c>
      <c r="F63" s="17" t="s">
        <v>411</v>
      </c>
      <c r="G63" s="17" t="s">
        <v>412</v>
      </c>
      <c r="H63" s="18" t="s">
        <v>413</v>
      </c>
      <c r="I63" s="4" t="s">
        <v>28</v>
      </c>
    </row>
    <row r="64" spans="1:9" ht="15.75" customHeight="1">
      <c r="A64" s="17" t="s">
        <v>414</v>
      </c>
      <c r="B64" s="17" t="s">
        <v>348</v>
      </c>
      <c r="C64" s="17" t="s">
        <v>19</v>
      </c>
      <c r="D64" s="17" t="s">
        <v>415</v>
      </c>
      <c r="E64" s="18" t="s">
        <v>416</v>
      </c>
      <c r="F64" s="18" t="s">
        <v>417</v>
      </c>
      <c r="G64" s="17" t="s">
        <v>418</v>
      </c>
      <c r="H64" s="17" t="s">
        <v>419</v>
      </c>
      <c r="I64" s="19" t="s">
        <v>27</v>
      </c>
    </row>
    <row r="65" spans="1:29" ht="15.75" customHeight="1">
      <c r="A65" s="17" t="s">
        <v>420</v>
      </c>
      <c r="B65" s="17" t="s">
        <v>421</v>
      </c>
      <c r="C65" s="17" t="s">
        <v>19</v>
      </c>
      <c r="D65" s="17" t="s">
        <v>422</v>
      </c>
      <c r="E65" s="18" t="s">
        <v>423</v>
      </c>
      <c r="F65" s="17">
        <v>1610894542</v>
      </c>
      <c r="G65" s="17" t="s">
        <v>424</v>
      </c>
      <c r="H65" s="17" t="s">
        <v>425</v>
      </c>
      <c r="I65" s="20" t="s">
        <v>26</v>
      </c>
    </row>
    <row r="66" spans="1:29" ht="15.75" customHeight="1">
      <c r="A66" s="17" t="s">
        <v>426</v>
      </c>
      <c r="B66" s="17" t="s">
        <v>421</v>
      </c>
      <c r="C66" s="17" t="s">
        <v>70</v>
      </c>
      <c r="D66" s="17" t="s">
        <v>427</v>
      </c>
      <c r="E66" s="17" t="s">
        <v>428</v>
      </c>
      <c r="F66" s="17" t="s">
        <v>429</v>
      </c>
      <c r="G66" s="17" t="s">
        <v>430</v>
      </c>
      <c r="H66" s="17" t="s">
        <v>431</v>
      </c>
      <c r="I66" s="20" t="s">
        <v>26</v>
      </c>
    </row>
    <row r="67" spans="1:29" ht="15.75" customHeight="1">
      <c r="A67" s="17" t="s">
        <v>432</v>
      </c>
      <c r="B67" s="17" t="s">
        <v>421</v>
      </c>
      <c r="C67" s="17" t="s">
        <v>19</v>
      </c>
      <c r="D67" s="17" t="s">
        <v>433</v>
      </c>
      <c r="E67" s="17" t="s">
        <v>434</v>
      </c>
      <c r="F67" s="17" t="s">
        <v>53</v>
      </c>
      <c r="G67" s="17" t="s">
        <v>435</v>
      </c>
      <c r="H67" s="17" t="s">
        <v>436</v>
      </c>
      <c r="I67" s="20" t="s">
        <v>28</v>
      </c>
    </row>
    <row r="68" spans="1:29" ht="15.75" customHeight="1">
      <c r="A68" s="17" t="s">
        <v>437</v>
      </c>
      <c r="B68" s="17" t="s">
        <v>438</v>
      </c>
      <c r="C68" s="17" t="s">
        <v>19</v>
      </c>
      <c r="D68" s="17" t="s">
        <v>439</v>
      </c>
      <c r="E68" s="17" t="s">
        <v>440</v>
      </c>
      <c r="F68" s="17" t="s">
        <v>441</v>
      </c>
      <c r="G68" s="17" t="s">
        <v>442</v>
      </c>
      <c r="H68" s="17" t="s">
        <v>443</v>
      </c>
      <c r="I68" s="20" t="s">
        <v>29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5.75" customHeight="1">
      <c r="A69" s="17" t="s">
        <v>444</v>
      </c>
      <c r="B69" s="17" t="s">
        <v>438</v>
      </c>
      <c r="C69" s="17" t="s">
        <v>70</v>
      </c>
      <c r="D69" s="17" t="s">
        <v>445</v>
      </c>
      <c r="E69" s="17" t="s">
        <v>446</v>
      </c>
      <c r="F69" s="17" t="s">
        <v>447</v>
      </c>
      <c r="G69" s="17" t="s">
        <v>448</v>
      </c>
      <c r="H69" s="17" t="s">
        <v>449</v>
      </c>
      <c r="I69" s="20" t="s">
        <v>29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5.75" customHeight="1">
      <c r="A70" s="9" t="s">
        <v>450</v>
      </c>
      <c r="B70" s="17" t="s">
        <v>354</v>
      </c>
      <c r="C70" s="17" t="s">
        <v>451</v>
      </c>
      <c r="D70" s="17" t="s">
        <v>452</v>
      </c>
      <c r="E70" s="17" t="s">
        <v>453</v>
      </c>
      <c r="F70" s="17" t="s">
        <v>454</v>
      </c>
      <c r="G70" s="18" t="s">
        <v>455</v>
      </c>
      <c r="H70" s="18" t="s">
        <v>456</v>
      </c>
      <c r="I70" s="19" t="s">
        <v>26</v>
      </c>
    </row>
    <row r="71" spans="1:29" ht="15.75" customHeight="1">
      <c r="A71" s="9" t="s">
        <v>457</v>
      </c>
      <c r="B71" s="17" t="s">
        <v>354</v>
      </c>
      <c r="C71" s="17" t="s">
        <v>458</v>
      </c>
      <c r="D71" s="17" t="s">
        <v>459</v>
      </c>
      <c r="E71" s="17" t="s">
        <v>460</v>
      </c>
      <c r="F71" s="17" t="s">
        <v>461</v>
      </c>
      <c r="G71" s="18" t="s">
        <v>462</v>
      </c>
      <c r="H71" s="17" t="s">
        <v>463</v>
      </c>
      <c r="I71" s="19" t="s">
        <v>26</v>
      </c>
    </row>
    <row r="72" spans="1:29" ht="15.75" customHeight="1">
      <c r="A72" s="9" t="s">
        <v>464</v>
      </c>
      <c r="B72" s="17" t="s">
        <v>354</v>
      </c>
      <c r="C72" s="17" t="s">
        <v>458</v>
      </c>
      <c r="D72" s="17" t="s">
        <v>465</v>
      </c>
      <c r="E72" s="17" t="s">
        <v>466</v>
      </c>
      <c r="F72" s="17" t="s">
        <v>467</v>
      </c>
      <c r="G72" s="17" t="s">
        <v>468</v>
      </c>
      <c r="H72" s="17" t="s">
        <v>469</v>
      </c>
      <c r="I72" s="20" t="s">
        <v>26</v>
      </c>
    </row>
    <row r="73" spans="1:29" ht="15.75" customHeight="1">
      <c r="A73" s="9" t="s">
        <v>470</v>
      </c>
      <c r="B73" s="17" t="s">
        <v>354</v>
      </c>
      <c r="C73" s="17" t="s">
        <v>471</v>
      </c>
      <c r="D73" s="17" t="s">
        <v>472</v>
      </c>
      <c r="E73" s="17" t="s">
        <v>473</v>
      </c>
      <c r="F73" s="18" t="s">
        <v>474</v>
      </c>
      <c r="G73" s="17" t="s">
        <v>475</v>
      </c>
      <c r="H73" s="17" t="s">
        <v>476</v>
      </c>
      <c r="I73" s="20" t="s">
        <v>26</v>
      </c>
    </row>
    <row r="74" spans="1:29" ht="15.75" customHeight="1">
      <c r="A74" s="9" t="s">
        <v>477</v>
      </c>
      <c r="B74" s="17" t="s">
        <v>354</v>
      </c>
      <c r="C74" s="17"/>
      <c r="D74" s="17" t="s">
        <v>478</v>
      </c>
      <c r="E74" s="17" t="s">
        <v>479</v>
      </c>
      <c r="F74" s="18" t="s">
        <v>480</v>
      </c>
      <c r="G74" s="17" t="s">
        <v>481</v>
      </c>
      <c r="H74" s="17" t="s">
        <v>482</v>
      </c>
      <c r="I74" s="20" t="s">
        <v>28</v>
      </c>
    </row>
    <row r="75" spans="1:29" ht="15.75" customHeight="1">
      <c r="A75" s="3"/>
      <c r="B75" s="3"/>
      <c r="C75" s="3"/>
      <c r="D75" s="3"/>
      <c r="E75" s="3"/>
      <c r="F75" s="3"/>
      <c r="G75" s="3"/>
      <c r="H75" s="3"/>
      <c r="I75" s="22"/>
    </row>
    <row r="76" spans="1:29" ht="15.75" customHeight="1">
      <c r="A76" s="3"/>
      <c r="B76" s="3"/>
      <c r="C76" s="3"/>
      <c r="D76" s="3"/>
      <c r="E76" s="3"/>
      <c r="F76" s="3"/>
      <c r="G76" s="3"/>
      <c r="H76" s="3"/>
      <c r="I76" s="23"/>
    </row>
    <row r="77" spans="1:29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spans="1:29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spans="1:2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spans="1:29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spans="1:9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spans="1:9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spans="1:9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spans="1:9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spans="1:9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spans="1:9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spans="1:9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spans="1:9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spans="1: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spans="1:9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spans="1:9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spans="1:9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spans="1:9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spans="1:9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spans="1:9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spans="1:9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spans="1:9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spans="1:9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spans="1: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spans="1:9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5.75" customHeight="1"/>
    <row r="276" spans="1:9" ht="15.75" customHeight="1"/>
    <row r="277" spans="1:9" ht="15.75" customHeight="1"/>
    <row r="278" spans="1:9" ht="15.75" customHeight="1"/>
    <row r="279" spans="1:9" ht="15.75" customHeight="1"/>
    <row r="280" spans="1:9" ht="15.75" customHeight="1"/>
    <row r="281" spans="1:9" ht="15.75" customHeight="1"/>
    <row r="282" spans="1:9" ht="15.75" customHeight="1"/>
    <row r="283" spans="1:9" ht="15.75" customHeight="1"/>
    <row r="284" spans="1:9" ht="15.75" customHeight="1"/>
    <row r="285" spans="1:9" ht="15.75" customHeight="1"/>
    <row r="286" spans="1:9" ht="15.75" customHeight="1"/>
    <row r="287" spans="1:9" ht="15.75" customHeight="1"/>
    <row r="288" spans="1: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58" xr:uid="{00000000-0009-0000-0000-000000000000}"/>
  <conditionalFormatting sqref="I2:I76">
    <cfRule type="cellIs" dxfId="4" priority="1" operator="equal">
      <formula>"Pass"</formula>
    </cfRule>
    <cfRule type="cellIs" dxfId="3" priority="2" operator="equal">
      <formula>"Retest Pass"</formula>
    </cfRule>
    <cfRule type="cellIs" dxfId="2" priority="3" operator="equal">
      <formula>"Fail"</formula>
    </cfRule>
    <cfRule type="cellIs" dxfId="1" priority="4" operator="equal">
      <formula>"Retest Fail"</formula>
    </cfRule>
    <cfRule type="cellIs" dxfId="0" priority="5" operator="equal">
      <formula>"Blocked"</formula>
    </cfRule>
  </conditionalFormatting>
  <dataValidations count="1">
    <dataValidation type="list" allowBlank="1" sqref="I2:I76" xr:uid="{00000000-0002-0000-0000-000000000000}">
      <formula1>"Not Run,In Progress,Pass,Fail,Blocked,Retest Pass,Retest Fail"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53125" defaultRowHeight="15" customHeight="1"/>
  <cols>
    <col min="1" max="1" width="26" customWidth="1"/>
    <col min="2" max="6" width="11" customWidth="1"/>
  </cols>
  <sheetData>
    <row r="1" spans="1:6" ht="15" customHeight="1">
      <c r="A1" s="2" t="s">
        <v>1</v>
      </c>
      <c r="B1" s="3"/>
      <c r="C1" s="3"/>
      <c r="D1" s="3"/>
      <c r="E1" s="3"/>
      <c r="F1" s="3"/>
    </row>
    <row r="2" spans="1:6" ht="14.5">
      <c r="A2" s="3"/>
      <c r="B2" s="3"/>
      <c r="C2" s="3"/>
      <c r="D2" s="3"/>
      <c r="E2" s="3"/>
      <c r="F2" s="3"/>
    </row>
    <row r="3" spans="1:6" ht="15" customHeight="1">
      <c r="A3" s="5" t="s">
        <v>3</v>
      </c>
      <c r="B3" s="5" t="s">
        <v>24</v>
      </c>
      <c r="C3" s="5" t="s">
        <v>26</v>
      </c>
      <c r="D3" s="5" t="s">
        <v>27</v>
      </c>
      <c r="E3" s="5" t="s">
        <v>28</v>
      </c>
      <c r="F3" s="5" t="s">
        <v>29</v>
      </c>
    </row>
    <row r="4" spans="1:6" ht="15" customHeight="1">
      <c r="A4" s="4" t="s">
        <v>18</v>
      </c>
      <c r="B4" s="4">
        <v>13</v>
      </c>
      <c r="C4" s="4">
        <f>COUNTIFS('Test Cases'!$B:$B,$A4,'Test Cases'!$I:$I,"Pass")</f>
        <v>5</v>
      </c>
      <c r="D4" s="4">
        <f>COUNTIFS('Test Cases'!$B:$B,$A4,'Test Cases'!$I:$I,"Fail")</f>
        <v>3</v>
      </c>
      <c r="E4" s="4">
        <f>COUNTIFS('Test Cases'!$B:$B,$A4,'Test Cases'!$I:$I,"Blocked")</f>
        <v>0</v>
      </c>
      <c r="F4" s="4">
        <f>COUNTIFS('Test Cases'!$B:$B,$A4,'Test Cases'!$I:$I,"Not Run")</f>
        <v>5</v>
      </c>
    </row>
    <row r="5" spans="1:6" ht="15" customHeight="1">
      <c r="A5" s="4" t="s">
        <v>89</v>
      </c>
      <c r="B5" s="4">
        <v>11</v>
      </c>
      <c r="C5" s="4">
        <f>COUNTIFS('Test Cases'!$B:$B,$A5,'Test Cases'!$I:$I,"Pass")</f>
        <v>11</v>
      </c>
      <c r="D5" s="4">
        <f>COUNTIFS('Test Cases'!$B:$B,$A5,'Test Cases'!$I:$I,"Fail")</f>
        <v>0</v>
      </c>
      <c r="E5" s="4">
        <f>COUNTIFS('Test Cases'!$B:$B,$A5,'Test Cases'!$I:$I,"Blocked")</f>
        <v>0</v>
      </c>
      <c r="F5" s="4">
        <f>COUNTIFS('Test Cases'!$B:$B,$A5,'Test Cases'!$I:$I,"Not Run")</f>
        <v>0</v>
      </c>
    </row>
    <row r="6" spans="1:6" ht="15" customHeight="1">
      <c r="A6" s="4" t="s">
        <v>137</v>
      </c>
      <c r="B6" s="4">
        <v>9</v>
      </c>
      <c r="C6" s="4">
        <v>1</v>
      </c>
      <c r="D6" s="4">
        <f>COUNTIFS('Test Cases'!$B:$B,$A6,'Test Cases'!$I:$I,"Fail")</f>
        <v>0</v>
      </c>
      <c r="E6" s="4">
        <f>COUNTIFS('Test Cases'!$B:$B,$A6,'Test Cases'!$I:$I,"Blocked")</f>
        <v>5</v>
      </c>
      <c r="F6" s="4">
        <f>COUNTIFS('Test Cases'!$B:$B,$A6,'Test Cases'!$I:$I,"Not Run")</f>
        <v>3</v>
      </c>
    </row>
    <row r="7" spans="1:6" ht="15" customHeight="1">
      <c r="A7" s="4" t="s">
        <v>165</v>
      </c>
      <c r="B7" s="4">
        <v>8</v>
      </c>
      <c r="C7" s="4">
        <f>COUNTIFS('Test Cases'!$B:$B,$A7,'Test Cases'!$I:$I,"Pass")</f>
        <v>7</v>
      </c>
      <c r="D7" s="4">
        <f>COUNTIFS('Test Cases'!$B:$B,$A7,'Test Cases'!$I:$I,"Fail")</f>
        <v>1</v>
      </c>
      <c r="E7" s="4">
        <f>COUNTIFS('Test Cases'!$B:$B,$A7,'Test Cases'!$I:$I,"Blocked")</f>
        <v>0</v>
      </c>
      <c r="F7" s="4">
        <f>COUNTIFS('Test Cases'!$B:$B,$A7,'Test Cases'!$I:$I,"Not Run")</f>
        <v>0</v>
      </c>
    </row>
    <row r="8" spans="1:6" ht="15" customHeight="1">
      <c r="A8" s="4" t="s">
        <v>203</v>
      </c>
      <c r="B8" s="4">
        <v>3</v>
      </c>
      <c r="C8" s="4">
        <v>3</v>
      </c>
      <c r="D8" s="4">
        <f>COUNTIFS('Test Cases'!$B:$B,$A8,'Test Cases'!$I:$I,"Fail")</f>
        <v>0</v>
      </c>
      <c r="E8" s="4">
        <f>COUNTIFS('Test Cases'!$B:$B,$A8,'Test Cases'!$I:$I,"Blocked")</f>
        <v>0</v>
      </c>
      <c r="F8" s="4">
        <f>COUNTIFS('Test Cases'!$B:$B,$A8,'Test Cases'!$I:$I,"Not Run")</f>
        <v>0</v>
      </c>
    </row>
    <row r="9" spans="1:6" ht="15" customHeight="1">
      <c r="A9" s="4" t="s">
        <v>249</v>
      </c>
      <c r="B9" s="4">
        <v>4</v>
      </c>
      <c r="C9" s="4">
        <f>COUNTIFS('Test Cases'!$B:$B,$A9,'Test Cases'!$I:$I,"Pass")</f>
        <v>4</v>
      </c>
      <c r="D9" s="4">
        <f>COUNTIFS('Test Cases'!$B:$B,$A9,'Test Cases'!$I:$I,"Fail")</f>
        <v>0</v>
      </c>
      <c r="E9" s="4">
        <f>COUNTIFS('Test Cases'!$B:$B,$A9,'Test Cases'!$I:$I,"Blocked")</f>
        <v>0</v>
      </c>
      <c r="F9" s="4">
        <f>COUNTIFS('Test Cases'!$B:$B,$A9,'Test Cases'!$I:$I,"Not Run")</f>
        <v>0</v>
      </c>
    </row>
    <row r="10" spans="1:6" ht="15" customHeight="1">
      <c r="A10" s="4" t="s">
        <v>279</v>
      </c>
      <c r="B10" s="4">
        <v>4</v>
      </c>
      <c r="C10" s="4">
        <f>COUNTIFS('Test Cases'!$B:$B,$A10,'Test Cases'!$I:$I,"Pass")</f>
        <v>4</v>
      </c>
      <c r="D10" s="4">
        <f>COUNTIFS('Test Cases'!$B:$B,$A10,'Test Cases'!$I:$I,"Fail")</f>
        <v>0</v>
      </c>
      <c r="E10" s="4">
        <f>COUNTIFS('Test Cases'!$B:$B,$A10,'Test Cases'!$I:$I,"Blocked")</f>
        <v>0</v>
      </c>
      <c r="F10" s="4">
        <f>COUNTIFS('Test Cases'!$B:$B,$A10,'Test Cases'!$I:$I,"Not Run")</f>
        <v>0</v>
      </c>
    </row>
    <row r="11" spans="1:6" ht="15" customHeight="1">
      <c r="A11" s="4" t="s">
        <v>304</v>
      </c>
      <c r="B11" s="4">
        <v>4</v>
      </c>
      <c r="C11" s="4">
        <f>COUNTIFS('Test Cases'!$B:$B,$A11,'Test Cases'!$I:$I,"Pass")</f>
        <v>4</v>
      </c>
      <c r="D11" s="4">
        <f>COUNTIFS('Test Cases'!$B:$B,$A11,'Test Cases'!$I:$I,"Fail")</f>
        <v>0</v>
      </c>
      <c r="E11" s="4">
        <f>COUNTIFS('Test Cases'!$B:$B,$A11,'Test Cases'!$I:$I,"Blocked")</f>
        <v>0</v>
      </c>
      <c r="F11" s="4">
        <f>COUNTIFS('Test Cases'!$B:$B,$A11,'Test Cases'!$I:$I,"Not Run")</f>
        <v>0</v>
      </c>
    </row>
    <row r="12" spans="1:6" ht="15" customHeight="1">
      <c r="A12" s="4" t="s">
        <v>342</v>
      </c>
      <c r="B12" s="4">
        <v>5</v>
      </c>
      <c r="C12" s="4">
        <v>2</v>
      </c>
      <c r="D12" s="4">
        <v>2</v>
      </c>
      <c r="E12" s="4">
        <v>1</v>
      </c>
      <c r="F12" s="4">
        <v>0</v>
      </c>
    </row>
    <row r="13" spans="1:6" ht="14.5">
      <c r="A13" s="9" t="s">
        <v>348</v>
      </c>
      <c r="B13" s="9">
        <v>6</v>
      </c>
      <c r="C13" s="9">
        <v>2</v>
      </c>
      <c r="D13" s="9">
        <v>1</v>
      </c>
      <c r="E13" s="9">
        <v>1</v>
      </c>
      <c r="F13" s="9">
        <v>2</v>
      </c>
    </row>
    <row r="14" spans="1:6" ht="14.5">
      <c r="A14" s="9" t="s">
        <v>354</v>
      </c>
      <c r="B14" s="9">
        <v>5</v>
      </c>
      <c r="C14" s="9">
        <v>4</v>
      </c>
      <c r="D14" s="9">
        <v>0</v>
      </c>
      <c r="E14" s="9">
        <v>1</v>
      </c>
      <c r="F14" s="9">
        <v>0</v>
      </c>
    </row>
    <row r="15" spans="1:6" ht="14.5">
      <c r="A15" s="16" t="s">
        <v>24</v>
      </c>
      <c r="B15" s="16">
        <f t="shared" ref="B15:F15" si="0">SUM(B4:B14)</f>
        <v>72</v>
      </c>
      <c r="C15" s="16">
        <f t="shared" si="0"/>
        <v>47</v>
      </c>
      <c r="D15" s="16">
        <f t="shared" si="0"/>
        <v>7</v>
      </c>
      <c r="E15" s="16">
        <f t="shared" si="0"/>
        <v>8</v>
      </c>
      <c r="F15" s="16">
        <f t="shared" si="0"/>
        <v>10</v>
      </c>
    </row>
    <row r="16" spans="1:6" ht="14.5">
      <c r="A16" s="3"/>
      <c r="B16" s="3"/>
      <c r="C16" s="3"/>
      <c r="D16" s="3"/>
      <c r="E16" s="3"/>
      <c r="F16" s="3"/>
    </row>
    <row r="17" spans="1:6" ht="14.5">
      <c r="A17" s="3"/>
      <c r="B17" s="3"/>
      <c r="C17" s="3"/>
      <c r="D17" s="3"/>
      <c r="E17" s="3"/>
      <c r="F17" s="3"/>
    </row>
    <row r="18" spans="1:6" ht="14.5">
      <c r="A18" s="3"/>
      <c r="B18" s="3"/>
      <c r="C18" s="3"/>
      <c r="D18" s="3"/>
      <c r="E18" s="3"/>
      <c r="F18" s="3"/>
    </row>
    <row r="19" spans="1:6" ht="14.5">
      <c r="A19" s="3"/>
      <c r="B19" s="3"/>
      <c r="C19" s="3"/>
      <c r="D19" s="3"/>
      <c r="E19" s="3"/>
      <c r="F19" s="3"/>
    </row>
    <row r="20" spans="1:6" ht="15.75" customHeight="1">
      <c r="A20" s="3"/>
      <c r="B20" s="3"/>
      <c r="C20" s="3"/>
      <c r="D20" s="3"/>
      <c r="E20" s="3"/>
      <c r="F20" s="3"/>
    </row>
    <row r="21" spans="1:6" ht="15.75" customHeight="1">
      <c r="A21" s="3"/>
      <c r="B21" s="3"/>
      <c r="C21" s="3"/>
      <c r="D21" s="3"/>
      <c r="E21" s="3"/>
      <c r="F21" s="3"/>
    </row>
    <row r="22" spans="1:6" ht="15.75" customHeight="1">
      <c r="A22" s="3"/>
      <c r="B22" s="3"/>
      <c r="C22" s="3"/>
      <c r="D22" s="3"/>
      <c r="E22" s="3"/>
      <c r="F22" s="3"/>
    </row>
    <row r="23" spans="1:6" ht="15.75" customHeight="1">
      <c r="A23" s="3"/>
      <c r="B23" s="3"/>
      <c r="C23" s="3"/>
      <c r="D23" s="3"/>
      <c r="E23" s="3"/>
      <c r="F23" s="3"/>
    </row>
    <row r="24" spans="1:6" ht="15.75" customHeight="1">
      <c r="A24" s="3"/>
      <c r="B24" s="3"/>
      <c r="C24" s="3"/>
      <c r="D24" s="3"/>
      <c r="E24" s="3"/>
      <c r="F24" s="3"/>
    </row>
    <row r="25" spans="1:6" ht="15.75" customHeight="1">
      <c r="A25" s="3"/>
      <c r="B25" s="3"/>
      <c r="C25" s="3"/>
      <c r="D25" s="3"/>
      <c r="E25" s="3"/>
      <c r="F25" s="3"/>
    </row>
    <row r="26" spans="1:6" ht="15.75" customHeight="1">
      <c r="A26" s="3"/>
      <c r="B26" s="3"/>
      <c r="C26" s="3"/>
      <c r="D26" s="3"/>
      <c r="E26" s="3"/>
      <c r="F26" s="3"/>
    </row>
    <row r="27" spans="1:6" ht="15.75" customHeight="1">
      <c r="A27" s="3"/>
      <c r="B27" s="3"/>
      <c r="C27" s="3"/>
      <c r="D27" s="3"/>
      <c r="E27" s="3"/>
      <c r="F27" s="3"/>
    </row>
    <row r="28" spans="1:6" ht="15.75" customHeight="1">
      <c r="A28" s="3"/>
      <c r="B28" s="3"/>
      <c r="C28" s="3"/>
      <c r="D28" s="3"/>
      <c r="E28" s="3"/>
      <c r="F28" s="3"/>
    </row>
    <row r="29" spans="1:6" ht="15.75" customHeight="1">
      <c r="A29" s="3"/>
      <c r="B29" s="3"/>
      <c r="C29" s="3"/>
      <c r="D29" s="3"/>
      <c r="E29" s="3"/>
      <c r="F29" s="3"/>
    </row>
    <row r="30" spans="1:6" ht="15.75" customHeight="1">
      <c r="A30" s="3"/>
      <c r="B30" s="3"/>
      <c r="C30" s="3"/>
      <c r="D30" s="3"/>
      <c r="E30" s="3"/>
      <c r="F30" s="3"/>
    </row>
    <row r="31" spans="1:6" ht="15.75" customHeight="1">
      <c r="A31" s="3"/>
      <c r="B31" s="3"/>
      <c r="C31" s="3"/>
      <c r="D31" s="3"/>
      <c r="E31" s="3"/>
      <c r="F31" s="3"/>
    </row>
    <row r="32" spans="1:6" ht="15.75" customHeight="1">
      <c r="A32" s="3"/>
      <c r="B32" s="3"/>
      <c r="C32" s="3"/>
      <c r="D32" s="3"/>
      <c r="E32" s="3"/>
      <c r="F32" s="3"/>
    </row>
    <row r="33" spans="1:6" ht="15.75" customHeight="1">
      <c r="A33" s="3"/>
      <c r="B33" s="3"/>
      <c r="C33" s="3"/>
      <c r="D33" s="3"/>
      <c r="E33" s="3"/>
      <c r="F33" s="3"/>
    </row>
    <row r="34" spans="1:6" ht="15.75" customHeight="1">
      <c r="A34" s="3"/>
      <c r="B34" s="3"/>
      <c r="C34" s="3"/>
      <c r="D34" s="3"/>
      <c r="E34" s="3"/>
      <c r="F34" s="3"/>
    </row>
    <row r="35" spans="1:6" ht="15.75" customHeight="1">
      <c r="A35" s="3"/>
      <c r="B35" s="3"/>
      <c r="C35" s="3"/>
      <c r="D35" s="3"/>
      <c r="E35" s="3"/>
      <c r="F35" s="3"/>
    </row>
    <row r="36" spans="1:6" ht="15.75" customHeight="1">
      <c r="A36" s="3"/>
      <c r="B36" s="3"/>
      <c r="C36" s="3"/>
      <c r="D36" s="3"/>
      <c r="E36" s="3"/>
      <c r="F36" s="3"/>
    </row>
    <row r="37" spans="1:6" ht="15.75" customHeight="1">
      <c r="A37" s="3"/>
      <c r="B37" s="3"/>
      <c r="C37" s="3"/>
      <c r="D37" s="3"/>
      <c r="E37" s="3"/>
      <c r="F37" s="3"/>
    </row>
    <row r="38" spans="1:6" ht="15.75" customHeight="1">
      <c r="A38" s="3"/>
      <c r="B38" s="3"/>
      <c r="C38" s="3"/>
      <c r="D38" s="3"/>
      <c r="E38" s="3"/>
      <c r="F38" s="3"/>
    </row>
    <row r="39" spans="1:6" ht="15.75" customHeight="1">
      <c r="A39" s="3"/>
      <c r="B39" s="3"/>
      <c r="C39" s="3"/>
      <c r="D39" s="3"/>
      <c r="E39" s="3"/>
      <c r="F39" s="3"/>
    </row>
    <row r="40" spans="1:6" ht="15.75" customHeight="1">
      <c r="A40" s="3"/>
      <c r="B40" s="3"/>
      <c r="C40" s="3"/>
      <c r="D40" s="3"/>
      <c r="E40" s="3"/>
      <c r="F40" s="3"/>
    </row>
    <row r="41" spans="1:6" ht="15.75" customHeight="1">
      <c r="A41" s="3"/>
      <c r="B41" s="3"/>
      <c r="C41" s="3"/>
      <c r="D41" s="3"/>
      <c r="E41" s="3"/>
      <c r="F41" s="3"/>
    </row>
    <row r="42" spans="1:6" ht="15.75" customHeight="1">
      <c r="A42" s="3"/>
      <c r="B42" s="3"/>
      <c r="C42" s="3"/>
      <c r="D42" s="3"/>
      <c r="E42" s="3"/>
      <c r="F42" s="3"/>
    </row>
    <row r="43" spans="1:6" ht="15.75" customHeight="1">
      <c r="A43" s="3"/>
      <c r="B43" s="3"/>
      <c r="C43" s="3"/>
      <c r="D43" s="3"/>
      <c r="E43" s="3"/>
      <c r="F43" s="3"/>
    </row>
    <row r="44" spans="1:6" ht="15.75" customHeight="1">
      <c r="A44" s="3"/>
      <c r="B44" s="3"/>
      <c r="C44" s="3"/>
      <c r="D44" s="3"/>
      <c r="E44" s="3"/>
      <c r="F44" s="3"/>
    </row>
    <row r="45" spans="1:6" ht="15.75" customHeight="1">
      <c r="A45" s="3"/>
      <c r="B45" s="3"/>
      <c r="C45" s="3"/>
      <c r="D45" s="3"/>
      <c r="E45" s="3"/>
      <c r="F45" s="3"/>
    </row>
    <row r="46" spans="1:6" ht="15.75" customHeight="1">
      <c r="A46" s="3"/>
      <c r="B46" s="3"/>
      <c r="C46" s="3"/>
      <c r="D46" s="3"/>
      <c r="E46" s="3"/>
      <c r="F46" s="3"/>
    </row>
    <row r="47" spans="1:6" ht="15.75" customHeight="1">
      <c r="A47" s="3"/>
      <c r="B47" s="3"/>
      <c r="C47" s="3"/>
      <c r="D47" s="3"/>
      <c r="E47" s="3"/>
      <c r="F47" s="3"/>
    </row>
    <row r="48" spans="1:6" ht="15.75" customHeight="1">
      <c r="A48" s="3"/>
      <c r="B48" s="3"/>
      <c r="C48" s="3"/>
      <c r="D48" s="3"/>
      <c r="E48" s="3"/>
      <c r="F48" s="3"/>
    </row>
    <row r="49" spans="1:6" ht="15.75" customHeight="1">
      <c r="A49" s="3"/>
      <c r="B49" s="3"/>
      <c r="C49" s="3"/>
      <c r="D49" s="3"/>
      <c r="E49" s="3"/>
      <c r="F49" s="3"/>
    </row>
    <row r="50" spans="1:6" ht="15.75" customHeight="1">
      <c r="A50" s="3"/>
      <c r="B50" s="3"/>
      <c r="C50" s="3"/>
      <c r="D50" s="3"/>
      <c r="E50" s="3"/>
      <c r="F50" s="3"/>
    </row>
    <row r="51" spans="1:6" ht="15.75" customHeight="1">
      <c r="A51" s="3"/>
      <c r="B51" s="3"/>
      <c r="C51" s="3"/>
      <c r="D51" s="3"/>
      <c r="E51" s="3"/>
      <c r="F51" s="3"/>
    </row>
    <row r="52" spans="1:6" ht="15.75" customHeight="1">
      <c r="A52" s="3"/>
      <c r="B52" s="3"/>
      <c r="C52" s="3"/>
      <c r="D52" s="3"/>
      <c r="E52" s="3"/>
      <c r="F52" s="3"/>
    </row>
    <row r="53" spans="1:6" ht="15.75" customHeight="1">
      <c r="A53" s="3"/>
      <c r="B53" s="3"/>
      <c r="C53" s="3"/>
      <c r="D53" s="3"/>
      <c r="E53" s="3"/>
      <c r="F53" s="3"/>
    </row>
    <row r="54" spans="1:6" ht="15.75" customHeight="1">
      <c r="A54" s="3"/>
      <c r="B54" s="3"/>
      <c r="C54" s="3"/>
      <c r="D54" s="3"/>
      <c r="E54" s="3"/>
      <c r="F54" s="3"/>
    </row>
    <row r="55" spans="1:6" ht="15.75" customHeight="1">
      <c r="A55" s="3"/>
      <c r="B55" s="3"/>
      <c r="C55" s="3"/>
      <c r="D55" s="3"/>
      <c r="E55" s="3"/>
      <c r="F55" s="3"/>
    </row>
    <row r="56" spans="1:6" ht="15.75" customHeight="1">
      <c r="A56" s="3"/>
      <c r="B56" s="3"/>
      <c r="C56" s="3"/>
      <c r="D56" s="3"/>
      <c r="E56" s="3"/>
      <c r="F56" s="3"/>
    </row>
    <row r="57" spans="1:6" ht="15.75" customHeight="1">
      <c r="A57" s="3"/>
      <c r="B57" s="3"/>
      <c r="C57" s="3"/>
      <c r="D57" s="3"/>
      <c r="E57" s="3"/>
      <c r="F57" s="3"/>
    </row>
    <row r="58" spans="1:6" ht="15.75" customHeight="1">
      <c r="A58" s="3"/>
      <c r="B58" s="3"/>
      <c r="C58" s="3"/>
      <c r="D58" s="3"/>
      <c r="E58" s="3"/>
      <c r="F58" s="3"/>
    </row>
    <row r="59" spans="1:6" ht="15.75" customHeight="1">
      <c r="A59" s="3"/>
      <c r="B59" s="3"/>
      <c r="C59" s="3"/>
      <c r="D59" s="3"/>
      <c r="E59" s="3"/>
      <c r="F59" s="3"/>
    </row>
    <row r="60" spans="1:6" ht="15.75" customHeight="1">
      <c r="A60" s="3"/>
      <c r="B60" s="3"/>
      <c r="C60" s="3"/>
      <c r="D60" s="3"/>
      <c r="E60" s="3"/>
      <c r="F60" s="3"/>
    </row>
    <row r="61" spans="1:6" ht="15.75" customHeight="1">
      <c r="A61" s="3"/>
      <c r="B61" s="3"/>
      <c r="C61" s="3"/>
      <c r="D61" s="3"/>
      <c r="E61" s="3"/>
      <c r="F61" s="3"/>
    </row>
    <row r="62" spans="1:6" ht="15.75" customHeight="1">
      <c r="A62" s="3"/>
      <c r="B62" s="3"/>
      <c r="C62" s="3"/>
      <c r="D62" s="3"/>
      <c r="E62" s="3"/>
      <c r="F62" s="3"/>
    </row>
    <row r="63" spans="1:6" ht="15.75" customHeight="1">
      <c r="A63" s="3"/>
      <c r="B63" s="3"/>
      <c r="C63" s="3"/>
      <c r="D63" s="3"/>
      <c r="E63" s="3"/>
      <c r="F63" s="3"/>
    </row>
    <row r="64" spans="1:6" ht="15.75" customHeight="1">
      <c r="A64" s="3"/>
      <c r="B64" s="3"/>
      <c r="C64" s="3"/>
      <c r="D64" s="3"/>
      <c r="E64" s="3"/>
      <c r="F64" s="3"/>
    </row>
    <row r="65" spans="1:6" ht="15.75" customHeight="1">
      <c r="A65" s="3"/>
      <c r="B65" s="3"/>
      <c r="C65" s="3"/>
      <c r="D65" s="3"/>
      <c r="E65" s="3"/>
      <c r="F65" s="3"/>
    </row>
    <row r="66" spans="1:6" ht="15.75" customHeight="1">
      <c r="A66" s="3"/>
      <c r="B66" s="3"/>
      <c r="C66" s="3"/>
      <c r="D66" s="3"/>
      <c r="E66" s="3"/>
      <c r="F66" s="3"/>
    </row>
    <row r="67" spans="1:6" ht="15.75" customHeight="1">
      <c r="A67" s="3"/>
      <c r="B67" s="3"/>
      <c r="C67" s="3"/>
      <c r="D67" s="3"/>
      <c r="E67" s="3"/>
      <c r="F67" s="3"/>
    </row>
    <row r="68" spans="1:6" ht="15.75" customHeight="1">
      <c r="A68" s="3"/>
      <c r="B68" s="3"/>
      <c r="C68" s="3"/>
      <c r="D68" s="3"/>
      <c r="E68" s="3"/>
      <c r="F68" s="3"/>
    </row>
    <row r="69" spans="1:6" ht="15.75" customHeight="1">
      <c r="A69" s="3"/>
      <c r="B69" s="3"/>
      <c r="C69" s="3"/>
      <c r="D69" s="3"/>
      <c r="E69" s="3"/>
      <c r="F69" s="3"/>
    </row>
    <row r="70" spans="1:6" ht="15.75" customHeight="1">
      <c r="A70" s="3"/>
      <c r="B70" s="3"/>
      <c r="C70" s="3"/>
      <c r="D70" s="3"/>
      <c r="E70" s="3"/>
      <c r="F70" s="3"/>
    </row>
    <row r="71" spans="1:6" ht="15.75" customHeight="1">
      <c r="A71" s="3"/>
      <c r="B71" s="3"/>
      <c r="C71" s="3"/>
      <c r="D71" s="3"/>
      <c r="E71" s="3"/>
      <c r="F71" s="3"/>
    </row>
    <row r="72" spans="1:6" ht="15.75" customHeight="1">
      <c r="A72" s="3"/>
      <c r="B72" s="3"/>
      <c r="C72" s="3"/>
      <c r="D72" s="3"/>
      <c r="E72" s="3"/>
      <c r="F72" s="3"/>
    </row>
    <row r="73" spans="1:6" ht="15.75" customHeight="1">
      <c r="A73" s="3"/>
      <c r="B73" s="3"/>
      <c r="C73" s="3"/>
      <c r="D73" s="3"/>
      <c r="E73" s="3"/>
      <c r="F73" s="3"/>
    </row>
    <row r="74" spans="1:6" ht="15.75" customHeight="1">
      <c r="A74" s="3"/>
      <c r="B74" s="3"/>
      <c r="C74" s="3"/>
      <c r="D74" s="3"/>
      <c r="E74" s="3"/>
      <c r="F74" s="3"/>
    </row>
    <row r="75" spans="1:6" ht="15.75" customHeight="1">
      <c r="A75" s="3"/>
      <c r="B75" s="3"/>
      <c r="C75" s="3"/>
      <c r="D75" s="3"/>
      <c r="E75" s="3"/>
      <c r="F75" s="3"/>
    </row>
    <row r="76" spans="1:6" ht="15.75" customHeight="1">
      <c r="A76" s="3"/>
      <c r="B76" s="3"/>
      <c r="C76" s="3"/>
      <c r="D76" s="3"/>
      <c r="E76" s="3"/>
      <c r="F76" s="3"/>
    </row>
    <row r="77" spans="1:6" ht="15.75" customHeight="1">
      <c r="A77" s="3"/>
      <c r="B77" s="3"/>
      <c r="C77" s="3"/>
      <c r="D77" s="3"/>
      <c r="E77" s="3"/>
      <c r="F77" s="3"/>
    </row>
    <row r="78" spans="1:6" ht="15.75" customHeight="1">
      <c r="A78" s="3"/>
      <c r="B78" s="3"/>
      <c r="C78" s="3"/>
      <c r="D78" s="3"/>
      <c r="E78" s="3"/>
      <c r="F78" s="3"/>
    </row>
    <row r="79" spans="1:6" ht="15.75" customHeight="1">
      <c r="A79" s="3"/>
      <c r="B79" s="3"/>
      <c r="C79" s="3"/>
      <c r="D79" s="3"/>
      <c r="E79" s="3"/>
      <c r="F79" s="3"/>
    </row>
    <row r="80" spans="1:6" ht="15.75" customHeight="1">
      <c r="A80" s="3"/>
      <c r="B80" s="3"/>
      <c r="C80" s="3"/>
      <c r="D80" s="3"/>
      <c r="E80" s="3"/>
      <c r="F80" s="3"/>
    </row>
    <row r="81" spans="1:6" ht="15.75" customHeight="1">
      <c r="A81" s="3"/>
      <c r="B81" s="3"/>
      <c r="C81" s="3"/>
      <c r="D81" s="3"/>
      <c r="E81" s="3"/>
      <c r="F81" s="3"/>
    </row>
    <row r="82" spans="1:6" ht="15.75" customHeight="1">
      <c r="A82" s="3"/>
      <c r="B82" s="3"/>
      <c r="C82" s="3"/>
      <c r="D82" s="3"/>
      <c r="E82" s="3"/>
      <c r="F82" s="3"/>
    </row>
    <row r="83" spans="1:6" ht="15.75" customHeight="1">
      <c r="A83" s="3"/>
      <c r="B83" s="3"/>
      <c r="C83" s="3"/>
      <c r="D83" s="3"/>
      <c r="E83" s="3"/>
      <c r="F83" s="3"/>
    </row>
    <row r="84" spans="1:6" ht="15.75" customHeight="1">
      <c r="A84" s="3"/>
      <c r="B84" s="3"/>
      <c r="C84" s="3"/>
      <c r="D84" s="3"/>
      <c r="E84" s="3"/>
      <c r="F84" s="3"/>
    </row>
    <row r="85" spans="1:6" ht="15.75" customHeight="1">
      <c r="A85" s="3"/>
      <c r="B85" s="3"/>
      <c r="C85" s="3"/>
      <c r="D85" s="3"/>
      <c r="E85" s="3"/>
      <c r="F85" s="3"/>
    </row>
    <row r="86" spans="1:6" ht="15.75" customHeight="1">
      <c r="A86" s="3"/>
      <c r="B86" s="3"/>
      <c r="C86" s="3"/>
      <c r="D86" s="3"/>
      <c r="E86" s="3"/>
      <c r="F86" s="3"/>
    </row>
    <row r="87" spans="1:6" ht="15.75" customHeight="1">
      <c r="A87" s="3"/>
      <c r="B87" s="3"/>
      <c r="C87" s="3"/>
      <c r="D87" s="3"/>
      <c r="E87" s="3"/>
      <c r="F87" s="3"/>
    </row>
    <row r="88" spans="1:6" ht="15.75" customHeight="1">
      <c r="A88" s="3"/>
      <c r="B88" s="3"/>
      <c r="C88" s="3"/>
      <c r="D88" s="3"/>
      <c r="E88" s="3"/>
      <c r="F88" s="3"/>
    </row>
    <row r="89" spans="1:6" ht="15.75" customHeight="1">
      <c r="A89" s="3"/>
      <c r="B89" s="3"/>
      <c r="C89" s="3"/>
      <c r="D89" s="3"/>
      <c r="E89" s="3"/>
      <c r="F89" s="3"/>
    </row>
    <row r="90" spans="1:6" ht="15.75" customHeight="1">
      <c r="A90" s="3"/>
      <c r="B90" s="3"/>
      <c r="C90" s="3"/>
      <c r="D90" s="3"/>
      <c r="E90" s="3"/>
      <c r="F90" s="3"/>
    </row>
    <row r="91" spans="1:6" ht="15.75" customHeight="1">
      <c r="A91" s="3"/>
      <c r="B91" s="3"/>
      <c r="C91" s="3"/>
      <c r="D91" s="3"/>
      <c r="E91" s="3"/>
      <c r="F91" s="3"/>
    </row>
    <row r="92" spans="1:6" ht="15.75" customHeight="1">
      <c r="A92" s="3"/>
      <c r="B92" s="3"/>
      <c r="C92" s="3"/>
      <c r="D92" s="3"/>
      <c r="E92" s="3"/>
      <c r="F92" s="3"/>
    </row>
    <row r="93" spans="1:6" ht="15.75" customHeight="1">
      <c r="A93" s="3"/>
      <c r="B93" s="3"/>
      <c r="C93" s="3"/>
      <c r="D93" s="3"/>
      <c r="E93" s="3"/>
      <c r="F93" s="3"/>
    </row>
    <row r="94" spans="1:6" ht="15.75" customHeight="1">
      <c r="A94" s="3"/>
      <c r="B94" s="3"/>
      <c r="C94" s="3"/>
      <c r="D94" s="3"/>
      <c r="E94" s="3"/>
      <c r="F94" s="3"/>
    </row>
    <row r="95" spans="1:6" ht="15.75" customHeight="1">
      <c r="A95" s="3"/>
      <c r="B95" s="3"/>
      <c r="C95" s="3"/>
      <c r="D95" s="3"/>
      <c r="E95" s="3"/>
      <c r="F95" s="3"/>
    </row>
    <row r="96" spans="1:6" ht="15.75" customHeight="1">
      <c r="A96" s="3"/>
      <c r="B96" s="3"/>
      <c r="C96" s="3"/>
      <c r="D96" s="3"/>
      <c r="E96" s="3"/>
      <c r="F96" s="3"/>
    </row>
    <row r="97" spans="1:6" ht="15.75" customHeight="1">
      <c r="A97" s="3"/>
      <c r="B97" s="3"/>
      <c r="C97" s="3"/>
      <c r="D97" s="3"/>
      <c r="E97" s="3"/>
      <c r="F97" s="3"/>
    </row>
    <row r="98" spans="1:6" ht="15.75" customHeight="1">
      <c r="A98" s="3"/>
      <c r="B98" s="3"/>
      <c r="C98" s="3"/>
      <c r="D98" s="3"/>
      <c r="E98" s="3"/>
      <c r="F98" s="3"/>
    </row>
    <row r="99" spans="1:6" ht="15.75" customHeight="1">
      <c r="A99" s="3"/>
      <c r="B99" s="3"/>
      <c r="C99" s="3"/>
      <c r="D99" s="3"/>
      <c r="E99" s="3"/>
      <c r="F99" s="3"/>
    </row>
    <row r="100" spans="1:6" ht="15.75" customHeight="1">
      <c r="A100" s="3"/>
      <c r="B100" s="3"/>
      <c r="C100" s="3"/>
      <c r="D100" s="3"/>
      <c r="E100" s="3"/>
      <c r="F100" s="3"/>
    </row>
    <row r="101" spans="1:6" ht="15.75" customHeight="1">
      <c r="A101" s="3"/>
      <c r="B101" s="3"/>
      <c r="C101" s="3"/>
      <c r="D101" s="3"/>
      <c r="E101" s="3"/>
      <c r="F101" s="3"/>
    </row>
    <row r="102" spans="1:6" ht="15.75" customHeight="1">
      <c r="A102" s="3"/>
      <c r="B102" s="3"/>
      <c r="C102" s="3"/>
      <c r="D102" s="3"/>
      <c r="E102" s="3"/>
      <c r="F102" s="3"/>
    </row>
    <row r="103" spans="1:6" ht="15.75" customHeight="1">
      <c r="A103" s="3"/>
      <c r="B103" s="3"/>
      <c r="C103" s="3"/>
      <c r="D103" s="3"/>
      <c r="E103" s="3"/>
      <c r="F103" s="3"/>
    </row>
    <row r="104" spans="1:6" ht="15.75" customHeight="1">
      <c r="A104" s="3"/>
      <c r="B104" s="3"/>
      <c r="C104" s="3"/>
      <c r="D104" s="3"/>
      <c r="E104" s="3"/>
      <c r="F104" s="3"/>
    </row>
    <row r="105" spans="1:6" ht="15.75" customHeight="1">
      <c r="A105" s="3"/>
      <c r="B105" s="3"/>
      <c r="C105" s="3"/>
      <c r="D105" s="3"/>
      <c r="E105" s="3"/>
      <c r="F105" s="3"/>
    </row>
    <row r="106" spans="1:6" ht="15.75" customHeight="1">
      <c r="A106" s="3"/>
      <c r="B106" s="3"/>
      <c r="C106" s="3"/>
      <c r="D106" s="3"/>
      <c r="E106" s="3"/>
      <c r="F106" s="3"/>
    </row>
    <row r="107" spans="1:6" ht="15.75" customHeight="1">
      <c r="A107" s="3"/>
      <c r="B107" s="3"/>
      <c r="C107" s="3"/>
      <c r="D107" s="3"/>
      <c r="E107" s="3"/>
      <c r="F107" s="3"/>
    </row>
    <row r="108" spans="1:6" ht="15.75" customHeight="1">
      <c r="A108" s="3"/>
      <c r="B108" s="3"/>
      <c r="C108" s="3"/>
      <c r="D108" s="3"/>
      <c r="E108" s="3"/>
      <c r="F108" s="3"/>
    </row>
    <row r="109" spans="1:6" ht="15.75" customHeight="1">
      <c r="A109" s="3"/>
      <c r="B109" s="3"/>
      <c r="C109" s="3"/>
      <c r="D109" s="3"/>
      <c r="E109" s="3"/>
      <c r="F109" s="3"/>
    </row>
    <row r="110" spans="1:6" ht="15.75" customHeight="1">
      <c r="A110" s="3"/>
      <c r="B110" s="3"/>
      <c r="C110" s="3"/>
      <c r="D110" s="3"/>
      <c r="E110" s="3"/>
      <c r="F110" s="3"/>
    </row>
    <row r="111" spans="1:6" ht="15.75" customHeight="1">
      <c r="A111" s="3"/>
      <c r="B111" s="3"/>
      <c r="C111" s="3"/>
      <c r="D111" s="3"/>
      <c r="E111" s="3"/>
      <c r="F111" s="3"/>
    </row>
    <row r="112" spans="1:6" ht="15.75" customHeight="1">
      <c r="A112" s="3"/>
      <c r="B112" s="3"/>
      <c r="C112" s="3"/>
      <c r="D112" s="3"/>
      <c r="E112" s="3"/>
      <c r="F112" s="3"/>
    </row>
    <row r="113" spans="1:6" ht="15.75" customHeight="1">
      <c r="A113" s="3"/>
      <c r="B113" s="3"/>
      <c r="C113" s="3"/>
      <c r="D113" s="3"/>
      <c r="E113" s="3"/>
      <c r="F113" s="3"/>
    </row>
    <row r="114" spans="1:6" ht="15.75" customHeight="1">
      <c r="A114" s="3"/>
      <c r="B114" s="3"/>
      <c r="C114" s="3"/>
      <c r="D114" s="3"/>
      <c r="E114" s="3"/>
      <c r="F114" s="3"/>
    </row>
    <row r="115" spans="1:6" ht="15.75" customHeight="1">
      <c r="A115" s="3"/>
      <c r="B115" s="3"/>
      <c r="C115" s="3"/>
      <c r="D115" s="3"/>
      <c r="E115" s="3"/>
      <c r="F115" s="3"/>
    </row>
    <row r="116" spans="1:6" ht="15.75" customHeight="1">
      <c r="A116" s="3"/>
      <c r="B116" s="3"/>
      <c r="C116" s="3"/>
      <c r="D116" s="3"/>
      <c r="E116" s="3"/>
      <c r="F116" s="3"/>
    </row>
    <row r="117" spans="1:6" ht="15.75" customHeight="1">
      <c r="A117" s="3"/>
      <c r="B117" s="3"/>
      <c r="C117" s="3"/>
      <c r="D117" s="3"/>
      <c r="E117" s="3"/>
      <c r="F117" s="3"/>
    </row>
    <row r="118" spans="1:6" ht="15.75" customHeight="1">
      <c r="A118" s="3"/>
      <c r="B118" s="3"/>
      <c r="C118" s="3"/>
      <c r="D118" s="3"/>
      <c r="E118" s="3"/>
      <c r="F118" s="3"/>
    </row>
    <row r="119" spans="1:6" ht="15.75" customHeight="1">
      <c r="A119" s="3"/>
      <c r="B119" s="3"/>
      <c r="C119" s="3"/>
      <c r="D119" s="3"/>
      <c r="E119" s="3"/>
      <c r="F119" s="3"/>
    </row>
    <row r="120" spans="1:6" ht="15.75" customHeight="1">
      <c r="A120" s="3"/>
      <c r="B120" s="3"/>
      <c r="C120" s="3"/>
      <c r="D120" s="3"/>
      <c r="E120" s="3"/>
      <c r="F120" s="3"/>
    </row>
    <row r="121" spans="1:6" ht="15.75" customHeight="1">
      <c r="A121" s="3"/>
      <c r="B121" s="3"/>
      <c r="C121" s="3"/>
      <c r="D121" s="3"/>
      <c r="E121" s="3"/>
      <c r="F121" s="3"/>
    </row>
    <row r="122" spans="1:6" ht="15.75" customHeight="1">
      <c r="A122" s="3"/>
      <c r="B122" s="3"/>
      <c r="C122" s="3"/>
      <c r="D122" s="3"/>
      <c r="E122" s="3"/>
      <c r="F122" s="3"/>
    </row>
    <row r="123" spans="1:6" ht="15.75" customHeight="1">
      <c r="A123" s="3"/>
      <c r="B123" s="3"/>
      <c r="C123" s="3"/>
      <c r="D123" s="3"/>
      <c r="E123" s="3"/>
      <c r="F123" s="3"/>
    </row>
    <row r="124" spans="1:6" ht="15.75" customHeight="1">
      <c r="A124" s="3"/>
      <c r="B124" s="3"/>
      <c r="C124" s="3"/>
      <c r="D124" s="3"/>
      <c r="E124" s="3"/>
      <c r="F124" s="3"/>
    </row>
    <row r="125" spans="1:6" ht="15.75" customHeight="1">
      <c r="A125" s="3"/>
      <c r="B125" s="3"/>
      <c r="C125" s="3"/>
      <c r="D125" s="3"/>
      <c r="E125" s="3"/>
      <c r="F125" s="3"/>
    </row>
    <row r="126" spans="1:6" ht="15.75" customHeight="1">
      <c r="A126" s="3"/>
      <c r="B126" s="3"/>
      <c r="C126" s="3"/>
      <c r="D126" s="3"/>
      <c r="E126" s="3"/>
      <c r="F126" s="3"/>
    </row>
    <row r="127" spans="1:6" ht="15.75" customHeight="1">
      <c r="A127" s="3"/>
      <c r="B127" s="3"/>
      <c r="C127" s="3"/>
      <c r="D127" s="3"/>
      <c r="E127" s="3"/>
      <c r="F127" s="3"/>
    </row>
    <row r="128" spans="1:6" ht="15.75" customHeight="1">
      <c r="A128" s="3"/>
      <c r="B128" s="3"/>
      <c r="C128" s="3"/>
      <c r="D128" s="3"/>
      <c r="E128" s="3"/>
      <c r="F128" s="3"/>
    </row>
    <row r="129" spans="1:6" ht="15.75" customHeight="1">
      <c r="A129" s="3"/>
      <c r="B129" s="3"/>
      <c r="C129" s="3"/>
      <c r="D129" s="3"/>
      <c r="E129" s="3"/>
      <c r="F129" s="3"/>
    </row>
    <row r="130" spans="1:6" ht="15.75" customHeight="1">
      <c r="A130" s="3"/>
      <c r="B130" s="3"/>
      <c r="C130" s="3"/>
      <c r="D130" s="3"/>
      <c r="E130" s="3"/>
      <c r="F130" s="3"/>
    </row>
    <row r="131" spans="1:6" ht="15.75" customHeight="1">
      <c r="A131" s="3"/>
      <c r="B131" s="3"/>
      <c r="C131" s="3"/>
      <c r="D131" s="3"/>
      <c r="E131" s="3"/>
      <c r="F131" s="3"/>
    </row>
    <row r="132" spans="1:6" ht="15.75" customHeight="1">
      <c r="A132" s="3"/>
      <c r="B132" s="3"/>
      <c r="C132" s="3"/>
      <c r="D132" s="3"/>
      <c r="E132" s="3"/>
      <c r="F132" s="3"/>
    </row>
    <row r="133" spans="1:6" ht="15.75" customHeight="1">
      <c r="A133" s="3"/>
      <c r="B133" s="3"/>
      <c r="C133" s="3"/>
      <c r="D133" s="3"/>
      <c r="E133" s="3"/>
      <c r="F133" s="3"/>
    </row>
    <row r="134" spans="1:6" ht="15.75" customHeight="1">
      <c r="A134" s="3"/>
      <c r="B134" s="3"/>
      <c r="C134" s="3"/>
      <c r="D134" s="3"/>
      <c r="E134" s="3"/>
      <c r="F134" s="3"/>
    </row>
    <row r="135" spans="1:6" ht="15.75" customHeight="1">
      <c r="A135" s="3"/>
      <c r="B135" s="3"/>
      <c r="C135" s="3"/>
      <c r="D135" s="3"/>
      <c r="E135" s="3"/>
      <c r="F135" s="3"/>
    </row>
    <row r="136" spans="1:6" ht="15.75" customHeight="1">
      <c r="A136" s="3"/>
      <c r="B136" s="3"/>
      <c r="C136" s="3"/>
      <c r="D136" s="3"/>
      <c r="E136" s="3"/>
      <c r="F136" s="3"/>
    </row>
    <row r="137" spans="1:6" ht="15.75" customHeight="1">
      <c r="A137" s="3"/>
      <c r="B137" s="3"/>
      <c r="C137" s="3"/>
      <c r="D137" s="3"/>
      <c r="E137" s="3"/>
      <c r="F137" s="3"/>
    </row>
    <row r="138" spans="1:6" ht="15.75" customHeight="1">
      <c r="A138" s="3"/>
      <c r="B138" s="3"/>
      <c r="C138" s="3"/>
      <c r="D138" s="3"/>
      <c r="E138" s="3"/>
      <c r="F138" s="3"/>
    </row>
    <row r="139" spans="1:6" ht="15.75" customHeight="1">
      <c r="A139" s="3"/>
      <c r="B139" s="3"/>
      <c r="C139" s="3"/>
      <c r="D139" s="3"/>
      <c r="E139" s="3"/>
      <c r="F139" s="3"/>
    </row>
    <row r="140" spans="1:6" ht="15.75" customHeight="1">
      <c r="A140" s="3"/>
      <c r="B140" s="3"/>
      <c r="C140" s="3"/>
      <c r="D140" s="3"/>
      <c r="E140" s="3"/>
      <c r="F140" s="3"/>
    </row>
    <row r="141" spans="1:6" ht="15.75" customHeight="1">
      <c r="A141" s="3"/>
      <c r="B141" s="3"/>
      <c r="C141" s="3"/>
      <c r="D141" s="3"/>
      <c r="E141" s="3"/>
      <c r="F141" s="3"/>
    </row>
    <row r="142" spans="1:6" ht="15.75" customHeight="1">
      <c r="A142" s="3"/>
      <c r="B142" s="3"/>
      <c r="C142" s="3"/>
      <c r="D142" s="3"/>
      <c r="E142" s="3"/>
      <c r="F142" s="3"/>
    </row>
    <row r="143" spans="1:6" ht="15.75" customHeight="1">
      <c r="A143" s="3"/>
      <c r="B143" s="3"/>
      <c r="C143" s="3"/>
      <c r="D143" s="3"/>
      <c r="E143" s="3"/>
      <c r="F143" s="3"/>
    </row>
    <row r="144" spans="1:6" ht="15.75" customHeight="1">
      <c r="A144" s="3"/>
      <c r="B144" s="3"/>
      <c r="C144" s="3"/>
      <c r="D144" s="3"/>
      <c r="E144" s="3"/>
      <c r="F144" s="3"/>
    </row>
    <row r="145" spans="1:6" ht="15.75" customHeight="1">
      <c r="A145" s="3"/>
      <c r="B145" s="3"/>
      <c r="C145" s="3"/>
      <c r="D145" s="3"/>
      <c r="E145" s="3"/>
      <c r="F145" s="3"/>
    </row>
    <row r="146" spans="1:6" ht="15.75" customHeight="1">
      <c r="A146" s="3"/>
      <c r="B146" s="3"/>
      <c r="C146" s="3"/>
      <c r="D146" s="3"/>
      <c r="E146" s="3"/>
      <c r="F146" s="3"/>
    </row>
    <row r="147" spans="1:6" ht="15.75" customHeight="1">
      <c r="A147" s="3"/>
      <c r="B147" s="3"/>
      <c r="C147" s="3"/>
      <c r="D147" s="3"/>
      <c r="E147" s="3"/>
      <c r="F147" s="3"/>
    </row>
    <row r="148" spans="1:6" ht="15.75" customHeight="1">
      <c r="A148" s="3"/>
      <c r="B148" s="3"/>
      <c r="C148" s="3"/>
      <c r="D148" s="3"/>
      <c r="E148" s="3"/>
      <c r="F148" s="3"/>
    </row>
    <row r="149" spans="1:6" ht="15.75" customHeight="1">
      <c r="A149" s="3"/>
      <c r="B149" s="3"/>
      <c r="C149" s="3"/>
      <c r="D149" s="3"/>
      <c r="E149" s="3"/>
      <c r="F149" s="3"/>
    </row>
    <row r="150" spans="1:6" ht="15.75" customHeight="1">
      <c r="A150" s="3"/>
      <c r="B150" s="3"/>
      <c r="C150" s="3"/>
      <c r="D150" s="3"/>
      <c r="E150" s="3"/>
      <c r="F150" s="3"/>
    </row>
    <row r="151" spans="1:6" ht="15.75" customHeight="1">
      <c r="A151" s="3"/>
      <c r="B151" s="3"/>
      <c r="C151" s="3"/>
      <c r="D151" s="3"/>
      <c r="E151" s="3"/>
      <c r="F151" s="3"/>
    </row>
    <row r="152" spans="1:6" ht="15.75" customHeight="1">
      <c r="A152" s="3"/>
      <c r="B152" s="3"/>
      <c r="C152" s="3"/>
      <c r="D152" s="3"/>
      <c r="E152" s="3"/>
      <c r="F152" s="3"/>
    </row>
    <row r="153" spans="1:6" ht="15.75" customHeight="1">
      <c r="A153" s="3"/>
      <c r="B153" s="3"/>
      <c r="C153" s="3"/>
      <c r="D153" s="3"/>
      <c r="E153" s="3"/>
      <c r="F153" s="3"/>
    </row>
    <row r="154" spans="1:6" ht="15.75" customHeight="1">
      <c r="A154" s="3"/>
      <c r="B154" s="3"/>
      <c r="C154" s="3"/>
      <c r="D154" s="3"/>
      <c r="E154" s="3"/>
      <c r="F154" s="3"/>
    </row>
    <row r="155" spans="1:6" ht="15.75" customHeight="1">
      <c r="A155" s="3"/>
      <c r="B155" s="3"/>
      <c r="C155" s="3"/>
      <c r="D155" s="3"/>
      <c r="E155" s="3"/>
      <c r="F155" s="3"/>
    </row>
    <row r="156" spans="1:6" ht="15.75" customHeight="1">
      <c r="A156" s="3"/>
      <c r="B156" s="3"/>
      <c r="C156" s="3"/>
      <c r="D156" s="3"/>
      <c r="E156" s="3"/>
      <c r="F156" s="3"/>
    </row>
    <row r="157" spans="1:6" ht="15.75" customHeight="1">
      <c r="A157" s="3"/>
      <c r="B157" s="3"/>
      <c r="C157" s="3"/>
      <c r="D157" s="3"/>
      <c r="E157" s="3"/>
      <c r="F157" s="3"/>
    </row>
    <row r="158" spans="1:6" ht="15.75" customHeight="1">
      <c r="A158" s="3"/>
      <c r="B158" s="3"/>
      <c r="C158" s="3"/>
      <c r="D158" s="3"/>
      <c r="E158" s="3"/>
      <c r="F158" s="3"/>
    </row>
    <row r="159" spans="1:6" ht="15.75" customHeight="1">
      <c r="A159" s="3"/>
      <c r="B159" s="3"/>
      <c r="C159" s="3"/>
      <c r="D159" s="3"/>
      <c r="E159" s="3"/>
      <c r="F159" s="3"/>
    </row>
    <row r="160" spans="1:6" ht="15.75" customHeight="1">
      <c r="A160" s="3"/>
      <c r="B160" s="3"/>
      <c r="C160" s="3"/>
      <c r="D160" s="3"/>
      <c r="E160" s="3"/>
      <c r="F160" s="3"/>
    </row>
    <row r="161" spans="1:6" ht="15.75" customHeight="1">
      <c r="A161" s="3"/>
      <c r="B161" s="3"/>
      <c r="C161" s="3"/>
      <c r="D161" s="3"/>
      <c r="E161" s="3"/>
      <c r="F161" s="3"/>
    </row>
    <row r="162" spans="1:6" ht="15.75" customHeight="1">
      <c r="A162" s="3"/>
      <c r="B162" s="3"/>
      <c r="C162" s="3"/>
      <c r="D162" s="3"/>
      <c r="E162" s="3"/>
      <c r="F162" s="3"/>
    </row>
    <row r="163" spans="1:6" ht="15.75" customHeight="1">
      <c r="A163" s="3"/>
      <c r="B163" s="3"/>
      <c r="C163" s="3"/>
      <c r="D163" s="3"/>
      <c r="E163" s="3"/>
      <c r="F163" s="3"/>
    </row>
    <row r="164" spans="1:6" ht="15.75" customHeight="1">
      <c r="A164" s="3"/>
      <c r="B164" s="3"/>
      <c r="C164" s="3"/>
      <c r="D164" s="3"/>
      <c r="E164" s="3"/>
      <c r="F164" s="3"/>
    </row>
    <row r="165" spans="1:6" ht="15.75" customHeight="1">
      <c r="A165" s="3"/>
      <c r="B165" s="3"/>
      <c r="C165" s="3"/>
      <c r="D165" s="3"/>
      <c r="E165" s="3"/>
      <c r="F165" s="3"/>
    </row>
    <row r="166" spans="1:6" ht="15.75" customHeight="1">
      <c r="A166" s="3"/>
      <c r="B166" s="3"/>
      <c r="C166" s="3"/>
      <c r="D166" s="3"/>
      <c r="E166" s="3"/>
      <c r="F166" s="3"/>
    </row>
    <row r="167" spans="1:6" ht="15.75" customHeight="1">
      <c r="A167" s="3"/>
      <c r="B167" s="3"/>
      <c r="C167" s="3"/>
      <c r="D167" s="3"/>
      <c r="E167" s="3"/>
      <c r="F167" s="3"/>
    </row>
    <row r="168" spans="1:6" ht="15.75" customHeight="1">
      <c r="A168" s="3"/>
      <c r="B168" s="3"/>
      <c r="C168" s="3"/>
      <c r="D168" s="3"/>
      <c r="E168" s="3"/>
      <c r="F168" s="3"/>
    </row>
    <row r="169" spans="1:6" ht="15.75" customHeight="1">
      <c r="A169" s="3"/>
      <c r="B169" s="3"/>
      <c r="C169" s="3"/>
      <c r="D169" s="3"/>
      <c r="E169" s="3"/>
      <c r="F169" s="3"/>
    </row>
    <row r="170" spans="1:6" ht="15.75" customHeight="1">
      <c r="A170" s="3"/>
      <c r="B170" s="3"/>
      <c r="C170" s="3"/>
      <c r="D170" s="3"/>
      <c r="E170" s="3"/>
      <c r="F170" s="3"/>
    </row>
    <row r="171" spans="1:6" ht="15.75" customHeight="1">
      <c r="A171" s="3"/>
      <c r="B171" s="3"/>
      <c r="C171" s="3"/>
      <c r="D171" s="3"/>
      <c r="E171" s="3"/>
      <c r="F171" s="3"/>
    </row>
    <row r="172" spans="1:6" ht="15.75" customHeight="1">
      <c r="A172" s="3"/>
      <c r="B172" s="3"/>
      <c r="C172" s="3"/>
      <c r="D172" s="3"/>
      <c r="E172" s="3"/>
      <c r="F172" s="3"/>
    </row>
    <row r="173" spans="1:6" ht="15.75" customHeight="1">
      <c r="A173" s="3"/>
      <c r="B173" s="3"/>
      <c r="C173" s="3"/>
      <c r="D173" s="3"/>
      <c r="E173" s="3"/>
      <c r="F173" s="3"/>
    </row>
    <row r="174" spans="1:6" ht="15.75" customHeight="1">
      <c r="A174" s="3"/>
      <c r="B174" s="3"/>
      <c r="C174" s="3"/>
      <c r="D174" s="3"/>
      <c r="E174" s="3"/>
      <c r="F174" s="3"/>
    </row>
    <row r="175" spans="1:6" ht="15.75" customHeight="1">
      <c r="A175" s="3"/>
      <c r="B175" s="3"/>
      <c r="C175" s="3"/>
      <c r="D175" s="3"/>
      <c r="E175" s="3"/>
      <c r="F175" s="3"/>
    </row>
    <row r="176" spans="1:6" ht="15.75" customHeight="1">
      <c r="A176" s="3"/>
      <c r="B176" s="3"/>
      <c r="C176" s="3"/>
      <c r="D176" s="3"/>
      <c r="E176" s="3"/>
      <c r="F176" s="3"/>
    </row>
    <row r="177" spans="1:6" ht="15.75" customHeight="1">
      <c r="A177" s="3"/>
      <c r="B177" s="3"/>
      <c r="C177" s="3"/>
      <c r="D177" s="3"/>
      <c r="E177" s="3"/>
      <c r="F177" s="3"/>
    </row>
    <row r="178" spans="1:6" ht="15.75" customHeight="1">
      <c r="A178" s="3"/>
      <c r="B178" s="3"/>
      <c r="C178" s="3"/>
      <c r="D178" s="3"/>
      <c r="E178" s="3"/>
      <c r="F178" s="3"/>
    </row>
    <row r="179" spans="1:6" ht="15.75" customHeight="1">
      <c r="A179" s="3"/>
      <c r="B179" s="3"/>
      <c r="C179" s="3"/>
      <c r="D179" s="3"/>
      <c r="E179" s="3"/>
      <c r="F179" s="3"/>
    </row>
    <row r="180" spans="1:6" ht="15.75" customHeight="1">
      <c r="A180" s="3"/>
      <c r="B180" s="3"/>
      <c r="C180" s="3"/>
      <c r="D180" s="3"/>
      <c r="E180" s="3"/>
      <c r="F180" s="3"/>
    </row>
    <row r="181" spans="1:6" ht="15.75" customHeight="1">
      <c r="A181" s="3"/>
      <c r="B181" s="3"/>
      <c r="C181" s="3"/>
      <c r="D181" s="3"/>
      <c r="E181" s="3"/>
      <c r="F181" s="3"/>
    </row>
    <row r="182" spans="1:6" ht="15.75" customHeight="1">
      <c r="A182" s="3"/>
      <c r="B182" s="3"/>
      <c r="C182" s="3"/>
      <c r="D182" s="3"/>
      <c r="E182" s="3"/>
      <c r="F182" s="3"/>
    </row>
    <row r="183" spans="1:6" ht="15.75" customHeight="1">
      <c r="A183" s="3"/>
      <c r="B183" s="3"/>
      <c r="C183" s="3"/>
      <c r="D183" s="3"/>
      <c r="E183" s="3"/>
      <c r="F183" s="3"/>
    </row>
    <row r="184" spans="1:6" ht="15.75" customHeight="1">
      <c r="A184" s="3"/>
      <c r="B184" s="3"/>
      <c r="C184" s="3"/>
      <c r="D184" s="3"/>
      <c r="E184" s="3"/>
      <c r="F184" s="3"/>
    </row>
    <row r="185" spans="1:6" ht="15.75" customHeight="1">
      <c r="A185" s="3"/>
      <c r="B185" s="3"/>
      <c r="C185" s="3"/>
      <c r="D185" s="3"/>
      <c r="E185" s="3"/>
      <c r="F185" s="3"/>
    </row>
    <row r="186" spans="1:6" ht="15.75" customHeight="1">
      <c r="A186" s="3"/>
      <c r="B186" s="3"/>
      <c r="C186" s="3"/>
      <c r="D186" s="3"/>
      <c r="E186" s="3"/>
      <c r="F186" s="3"/>
    </row>
    <row r="187" spans="1:6" ht="15.75" customHeight="1">
      <c r="A187" s="3"/>
      <c r="B187" s="3"/>
      <c r="C187" s="3"/>
      <c r="D187" s="3"/>
      <c r="E187" s="3"/>
      <c r="F187" s="3"/>
    </row>
    <row r="188" spans="1:6" ht="15.75" customHeight="1">
      <c r="A188" s="3"/>
      <c r="B188" s="3"/>
      <c r="C188" s="3"/>
      <c r="D188" s="3"/>
      <c r="E188" s="3"/>
      <c r="F188" s="3"/>
    </row>
    <row r="189" spans="1:6" ht="15.75" customHeight="1">
      <c r="A189" s="3"/>
      <c r="B189" s="3"/>
      <c r="C189" s="3"/>
      <c r="D189" s="3"/>
      <c r="E189" s="3"/>
      <c r="F189" s="3"/>
    </row>
    <row r="190" spans="1:6" ht="15.75" customHeight="1">
      <c r="A190" s="3"/>
      <c r="B190" s="3"/>
      <c r="C190" s="3"/>
      <c r="D190" s="3"/>
      <c r="E190" s="3"/>
      <c r="F190" s="3"/>
    </row>
    <row r="191" spans="1:6" ht="15.75" customHeight="1">
      <c r="A191" s="3"/>
      <c r="B191" s="3"/>
      <c r="C191" s="3"/>
      <c r="D191" s="3"/>
      <c r="E191" s="3"/>
      <c r="F191" s="3"/>
    </row>
    <row r="192" spans="1:6" ht="15.75" customHeight="1">
      <c r="A192" s="3"/>
      <c r="B192" s="3"/>
      <c r="C192" s="3"/>
      <c r="D192" s="3"/>
      <c r="E192" s="3"/>
      <c r="F192" s="3"/>
    </row>
    <row r="193" spans="1:6" ht="15.75" customHeight="1">
      <c r="A193" s="3"/>
      <c r="B193" s="3"/>
      <c r="C193" s="3"/>
      <c r="D193" s="3"/>
      <c r="E193" s="3"/>
      <c r="F193" s="3"/>
    </row>
    <row r="194" spans="1:6" ht="15.75" customHeight="1">
      <c r="A194" s="3"/>
      <c r="B194" s="3"/>
      <c r="C194" s="3"/>
      <c r="D194" s="3"/>
      <c r="E194" s="3"/>
      <c r="F194" s="3"/>
    </row>
    <row r="195" spans="1:6" ht="15.75" customHeight="1">
      <c r="A195" s="3"/>
      <c r="B195" s="3"/>
      <c r="C195" s="3"/>
      <c r="D195" s="3"/>
      <c r="E195" s="3"/>
      <c r="F195" s="3"/>
    </row>
    <row r="196" spans="1:6" ht="15.75" customHeight="1">
      <c r="A196" s="3"/>
      <c r="B196" s="3"/>
      <c r="C196" s="3"/>
      <c r="D196" s="3"/>
      <c r="E196" s="3"/>
      <c r="F196" s="3"/>
    </row>
    <row r="197" spans="1:6" ht="15.75" customHeight="1">
      <c r="A197" s="3"/>
      <c r="B197" s="3"/>
      <c r="C197" s="3"/>
      <c r="D197" s="3"/>
      <c r="E197" s="3"/>
      <c r="F197" s="3"/>
    </row>
    <row r="198" spans="1:6" ht="15.75" customHeight="1">
      <c r="A198" s="3"/>
      <c r="B198" s="3"/>
      <c r="C198" s="3"/>
      <c r="D198" s="3"/>
      <c r="E198" s="3"/>
      <c r="F198" s="3"/>
    </row>
    <row r="199" spans="1:6" ht="15.75" customHeight="1">
      <c r="A199" s="3"/>
      <c r="B199" s="3"/>
      <c r="C199" s="3"/>
      <c r="D199" s="3"/>
      <c r="E199" s="3"/>
      <c r="F199" s="3"/>
    </row>
    <row r="200" spans="1:6" ht="15.75" customHeight="1">
      <c r="A200" s="3"/>
      <c r="B200" s="3"/>
      <c r="C200" s="3"/>
      <c r="D200" s="3"/>
      <c r="E200" s="3"/>
      <c r="F200" s="3"/>
    </row>
    <row r="201" spans="1:6" ht="15.75" customHeight="1">
      <c r="A201" s="3"/>
      <c r="B201" s="3"/>
      <c r="C201" s="3"/>
      <c r="D201" s="3"/>
      <c r="E201" s="3"/>
      <c r="F201" s="3"/>
    </row>
    <row r="202" spans="1:6" ht="15.75" customHeight="1">
      <c r="A202" s="3"/>
      <c r="B202" s="3"/>
      <c r="C202" s="3"/>
      <c r="D202" s="3"/>
      <c r="E202" s="3"/>
      <c r="F202" s="3"/>
    </row>
    <row r="203" spans="1:6" ht="15.75" customHeight="1">
      <c r="A203" s="3"/>
      <c r="B203" s="3"/>
      <c r="C203" s="3"/>
      <c r="D203" s="3"/>
      <c r="E203" s="3"/>
      <c r="F203" s="3"/>
    </row>
    <row r="204" spans="1:6" ht="15.75" customHeight="1">
      <c r="A204" s="3"/>
      <c r="B204" s="3"/>
      <c r="C204" s="3"/>
      <c r="D204" s="3"/>
      <c r="E204" s="3"/>
      <c r="F204" s="3"/>
    </row>
    <row r="205" spans="1:6" ht="15.75" customHeight="1">
      <c r="A205" s="3"/>
      <c r="B205" s="3"/>
      <c r="C205" s="3"/>
      <c r="D205" s="3"/>
      <c r="E205" s="3"/>
      <c r="F205" s="3"/>
    </row>
    <row r="206" spans="1:6" ht="15.75" customHeight="1">
      <c r="A206" s="3"/>
      <c r="B206" s="3"/>
      <c r="C206" s="3"/>
      <c r="D206" s="3"/>
      <c r="E206" s="3"/>
      <c r="F206" s="3"/>
    </row>
    <row r="207" spans="1:6" ht="15.75" customHeight="1">
      <c r="A207" s="3"/>
      <c r="B207" s="3"/>
      <c r="C207" s="3"/>
      <c r="D207" s="3"/>
      <c r="E207" s="3"/>
      <c r="F207" s="3"/>
    </row>
    <row r="208" spans="1:6" ht="15.75" customHeight="1">
      <c r="A208" s="3"/>
      <c r="B208" s="3"/>
      <c r="C208" s="3"/>
      <c r="D208" s="3"/>
      <c r="E208" s="3"/>
      <c r="F208" s="3"/>
    </row>
    <row r="209" spans="1:6" ht="15.75" customHeight="1">
      <c r="A209" s="3"/>
      <c r="B209" s="3"/>
      <c r="C209" s="3"/>
      <c r="D209" s="3"/>
      <c r="E209" s="3"/>
      <c r="F209" s="3"/>
    </row>
    <row r="210" spans="1:6" ht="15.75" customHeight="1">
      <c r="A210" s="3"/>
      <c r="B210" s="3"/>
      <c r="C210" s="3"/>
      <c r="D210" s="3"/>
      <c r="E210" s="3"/>
      <c r="F210" s="3"/>
    </row>
    <row r="211" spans="1:6" ht="15.75" customHeight="1">
      <c r="A211" s="3"/>
      <c r="B211" s="3"/>
      <c r="C211" s="3"/>
      <c r="D211" s="3"/>
      <c r="E211" s="3"/>
      <c r="F211" s="3"/>
    </row>
    <row r="212" spans="1:6" ht="15.75" customHeight="1">
      <c r="A212" s="3"/>
      <c r="B212" s="3"/>
      <c r="C212" s="3"/>
      <c r="D212" s="3"/>
      <c r="E212" s="3"/>
      <c r="F212" s="3"/>
    </row>
    <row r="213" spans="1:6" ht="15.75" customHeight="1">
      <c r="A213" s="3"/>
      <c r="B213" s="3"/>
      <c r="C213" s="3"/>
      <c r="D213" s="3"/>
      <c r="E213" s="3"/>
      <c r="F213" s="3"/>
    </row>
    <row r="214" spans="1:6" ht="15.75" customHeight="1">
      <c r="A214" s="3"/>
      <c r="B214" s="3"/>
      <c r="C214" s="3"/>
      <c r="D214" s="3"/>
      <c r="E214" s="3"/>
      <c r="F214" s="3"/>
    </row>
    <row r="215" spans="1:6" ht="15.75" customHeight="1">
      <c r="A215" s="3"/>
      <c r="B215" s="3"/>
      <c r="C215" s="3"/>
      <c r="D215" s="3"/>
      <c r="E215" s="3"/>
      <c r="F215" s="3"/>
    </row>
    <row r="216" spans="1:6" ht="15.75" customHeight="1">
      <c r="A216" s="3"/>
      <c r="B216" s="3"/>
      <c r="C216" s="3"/>
      <c r="D216" s="3"/>
      <c r="E216" s="3"/>
      <c r="F216" s="3"/>
    </row>
    <row r="217" spans="1:6" ht="15.75" customHeight="1">
      <c r="A217" s="3"/>
      <c r="B217" s="3"/>
      <c r="C217" s="3"/>
      <c r="D217" s="3"/>
      <c r="E217" s="3"/>
      <c r="F217" s="3"/>
    </row>
    <row r="218" spans="1:6" ht="15.75" customHeight="1">
      <c r="A218" s="3"/>
      <c r="B218" s="3"/>
      <c r="C218" s="3"/>
      <c r="D218" s="3"/>
      <c r="E218" s="3"/>
      <c r="F218" s="3"/>
    </row>
    <row r="219" spans="1:6" ht="15.75" customHeight="1">
      <c r="A219" s="3"/>
      <c r="B219" s="3"/>
      <c r="C219" s="3"/>
      <c r="D219" s="3"/>
      <c r="E219" s="3"/>
      <c r="F219" s="3"/>
    </row>
    <row r="220" spans="1:6" ht="15.75" customHeight="1">
      <c r="A220" s="3"/>
      <c r="B220" s="3"/>
      <c r="C220" s="3"/>
      <c r="D220" s="3"/>
      <c r="E220" s="3"/>
      <c r="F220" s="3"/>
    </row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4" customWidth="1"/>
    <col min="2" max="2" width="57" customWidth="1"/>
    <col min="3" max="4" width="14" customWidth="1"/>
    <col min="5" max="5" width="45" customWidth="1"/>
    <col min="6" max="6" width="20" customWidth="1"/>
    <col min="7" max="9" width="48" customWidth="1"/>
    <col min="10" max="10" width="8.7265625" customWidth="1"/>
  </cols>
  <sheetData>
    <row r="1" spans="1:10" ht="30" customHeight="1">
      <c r="A1" s="1" t="s">
        <v>2</v>
      </c>
      <c r="B1" s="1" t="s">
        <v>7</v>
      </c>
      <c r="C1" s="1" t="s">
        <v>10</v>
      </c>
      <c r="D1" s="1" t="s">
        <v>12</v>
      </c>
      <c r="E1" s="1" t="s">
        <v>3</v>
      </c>
      <c r="F1" s="1" t="s">
        <v>14</v>
      </c>
      <c r="G1" s="1" t="s">
        <v>15</v>
      </c>
      <c r="H1" s="1" t="s">
        <v>9</v>
      </c>
      <c r="I1" s="1" t="s">
        <v>11</v>
      </c>
      <c r="J1" s="1" t="s">
        <v>17</v>
      </c>
    </row>
    <row r="2" spans="1:10" ht="90" customHeight="1">
      <c r="A2" s="6" t="s">
        <v>20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37</v>
      </c>
      <c r="I2" s="6" t="s">
        <v>38</v>
      </c>
      <c r="J2" s="7"/>
    </row>
    <row r="3" spans="1:10" ht="90" customHeight="1">
      <c r="A3" s="6" t="s">
        <v>43</v>
      </c>
      <c r="B3" s="6" t="s">
        <v>44</v>
      </c>
      <c r="C3" s="6" t="s">
        <v>45</v>
      </c>
      <c r="D3" s="6" t="s">
        <v>31</v>
      </c>
      <c r="E3" s="6" t="s">
        <v>46</v>
      </c>
      <c r="F3" s="6" t="s">
        <v>34</v>
      </c>
      <c r="G3" s="6" t="s">
        <v>48</v>
      </c>
      <c r="H3" s="6" t="s">
        <v>49</v>
      </c>
      <c r="I3" s="6" t="s">
        <v>51</v>
      </c>
      <c r="J3" s="8" t="s">
        <v>54</v>
      </c>
    </row>
    <row r="4" spans="1:10" ht="29">
      <c r="A4" s="9" t="s">
        <v>82</v>
      </c>
      <c r="B4" s="9" t="s">
        <v>83</v>
      </c>
      <c r="C4" s="9" t="s">
        <v>84</v>
      </c>
      <c r="D4" s="9" t="s">
        <v>84</v>
      </c>
      <c r="E4" s="9" t="s">
        <v>85</v>
      </c>
      <c r="F4" s="9"/>
      <c r="G4" s="7" t="s">
        <v>86</v>
      </c>
      <c r="H4" s="10" t="s">
        <v>87</v>
      </c>
      <c r="I4" s="10" t="s">
        <v>88</v>
      </c>
      <c r="J4" s="7"/>
    </row>
    <row r="5" spans="1:10" ht="87">
      <c r="A5" s="9" t="s">
        <v>91</v>
      </c>
      <c r="B5" s="9" t="s">
        <v>92</v>
      </c>
      <c r="C5" s="7" t="s">
        <v>84</v>
      </c>
      <c r="D5" s="7" t="s">
        <v>84</v>
      </c>
      <c r="E5" s="9" t="s">
        <v>96</v>
      </c>
      <c r="F5" s="9"/>
      <c r="G5" s="11" t="s">
        <v>99</v>
      </c>
      <c r="H5" s="10" t="s">
        <v>101</v>
      </c>
      <c r="I5" s="9" t="s">
        <v>102</v>
      </c>
      <c r="J5" s="7"/>
    </row>
    <row r="6" spans="1:10" ht="43.5">
      <c r="A6" s="9" t="s">
        <v>106</v>
      </c>
      <c r="B6" s="10" t="s">
        <v>108</v>
      </c>
      <c r="C6" s="7" t="s">
        <v>84</v>
      </c>
      <c r="D6" s="7" t="s">
        <v>84</v>
      </c>
      <c r="E6" s="9" t="s">
        <v>109</v>
      </c>
      <c r="F6" s="9"/>
      <c r="G6" s="11" t="s">
        <v>115</v>
      </c>
      <c r="H6" s="9" t="s">
        <v>116</v>
      </c>
      <c r="I6" s="9" t="s">
        <v>102</v>
      </c>
      <c r="J6" s="7"/>
    </row>
    <row r="7" spans="1:10" ht="43.5">
      <c r="A7" s="12" t="s">
        <v>119</v>
      </c>
      <c r="B7" s="12" t="s">
        <v>124</v>
      </c>
      <c r="C7" s="9" t="s">
        <v>32</v>
      </c>
      <c r="D7" s="12" t="s">
        <v>32</v>
      </c>
      <c r="E7" s="12" t="s">
        <v>130</v>
      </c>
      <c r="F7" s="9"/>
      <c r="G7" s="7" t="s">
        <v>132</v>
      </c>
      <c r="H7" s="10" t="s">
        <v>133</v>
      </c>
      <c r="I7" s="9" t="s">
        <v>135</v>
      </c>
      <c r="J7" s="8" t="s">
        <v>139</v>
      </c>
    </row>
    <row r="8" spans="1:10" ht="14.5">
      <c r="A8" s="9" t="s">
        <v>161</v>
      </c>
      <c r="B8" s="9" t="s">
        <v>164</v>
      </c>
      <c r="C8" s="9" t="s">
        <v>32</v>
      </c>
      <c r="D8" s="9" t="s">
        <v>84</v>
      </c>
      <c r="E8" s="9" t="s">
        <v>169</v>
      </c>
      <c r="F8" s="9"/>
      <c r="G8" s="9" t="s">
        <v>171</v>
      </c>
      <c r="H8" s="9" t="s">
        <v>172</v>
      </c>
      <c r="I8" s="9" t="s">
        <v>173</v>
      </c>
      <c r="J8" s="14" t="s">
        <v>54</v>
      </c>
    </row>
    <row r="9" spans="1:10" ht="14.5">
      <c r="A9" s="3"/>
      <c r="B9" s="3"/>
      <c r="C9" s="3"/>
      <c r="D9" s="3"/>
      <c r="E9" s="3"/>
      <c r="F9" s="3"/>
      <c r="G9" s="3"/>
      <c r="H9" s="3"/>
      <c r="I9" s="3"/>
    </row>
    <row r="10" spans="1:10" ht="14.5">
      <c r="A10" s="3"/>
      <c r="B10" s="3"/>
      <c r="C10" s="3"/>
      <c r="D10" s="3"/>
      <c r="E10" s="3"/>
      <c r="F10" s="3"/>
      <c r="G10" s="3"/>
      <c r="H10" s="3"/>
      <c r="I10" s="3"/>
    </row>
    <row r="11" spans="1:10" ht="14.5">
      <c r="A11" s="3"/>
      <c r="B11" s="3"/>
      <c r="C11" s="3"/>
      <c r="D11" s="3"/>
      <c r="E11" s="3"/>
      <c r="F11" s="3"/>
      <c r="G11" s="3"/>
      <c r="H11" s="3"/>
      <c r="I11" s="3"/>
    </row>
    <row r="12" spans="1:10" ht="14.5">
      <c r="A12" s="3"/>
      <c r="B12" s="3"/>
      <c r="C12" s="3"/>
      <c r="D12" s="3"/>
      <c r="E12" s="3"/>
      <c r="F12" s="3"/>
      <c r="G12" s="3"/>
      <c r="H12" s="3"/>
      <c r="I12" s="3"/>
    </row>
    <row r="13" spans="1:10" ht="14.5">
      <c r="A13" s="3"/>
      <c r="B13" s="3"/>
      <c r="C13" s="3"/>
      <c r="D13" s="3"/>
      <c r="E13" s="3"/>
      <c r="F13" s="3"/>
      <c r="G13" s="3"/>
      <c r="H13" s="3"/>
      <c r="I13" s="3"/>
    </row>
    <row r="14" spans="1:10" ht="14.5">
      <c r="A14" s="3"/>
      <c r="B14" s="3"/>
      <c r="C14" s="3"/>
      <c r="D14" s="3"/>
      <c r="E14" s="3"/>
      <c r="F14" s="3"/>
      <c r="G14" s="3"/>
      <c r="H14" s="3"/>
      <c r="I14" s="3"/>
    </row>
    <row r="15" spans="1:10" ht="15.75" customHeight="1">
      <c r="A15" s="3"/>
      <c r="B15" s="3"/>
      <c r="C15" s="3"/>
      <c r="D15" s="3"/>
      <c r="E15" s="3"/>
      <c r="F15" s="3"/>
      <c r="G15" s="3"/>
      <c r="H15" s="3"/>
      <c r="I15" s="3"/>
    </row>
    <row r="16" spans="1:10" ht="15.75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ht="15.75" customHeight="1">
      <c r="A17" s="3"/>
      <c r="B17" s="3"/>
      <c r="C17" s="3"/>
      <c r="D17" s="3"/>
      <c r="E17" s="3"/>
      <c r="F17" s="3"/>
      <c r="G17" s="3"/>
      <c r="H17" s="3"/>
      <c r="I17" s="3"/>
    </row>
    <row r="18" spans="1:9" ht="15.75" customHeight="1">
      <c r="A18" s="3"/>
      <c r="B18" s="3"/>
      <c r="C18" s="3"/>
      <c r="D18" s="3"/>
      <c r="E18" s="3"/>
      <c r="F18" s="3"/>
      <c r="G18" s="3"/>
      <c r="H18" s="3"/>
      <c r="I18" s="3"/>
    </row>
    <row r="19" spans="1:9" ht="15.75" customHeight="1">
      <c r="A19" s="3"/>
      <c r="B19" s="3"/>
      <c r="C19" s="3"/>
      <c r="D19" s="3"/>
      <c r="E19" s="3"/>
      <c r="F19" s="3"/>
      <c r="G19" s="3"/>
      <c r="H19" s="3"/>
      <c r="I19" s="3"/>
    </row>
    <row r="20" spans="1:9" ht="15.75" customHeight="1">
      <c r="A20" s="3"/>
      <c r="B20" s="3"/>
      <c r="C20" s="3"/>
      <c r="D20" s="3"/>
      <c r="E20" s="3"/>
      <c r="F20" s="3"/>
      <c r="G20" s="3"/>
      <c r="H20" s="3"/>
      <c r="I20" s="3"/>
    </row>
    <row r="21" spans="1:9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spans="1:9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spans="1:9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spans="1:9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spans="1:9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spans="1:9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spans="1:9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spans="1:9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spans="1: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spans="1:9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spans="1:9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spans="1:9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spans="1:9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spans="1:9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spans="1:9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spans="1:9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spans="1:9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spans="1: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spans="1:9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spans="1:9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spans="1:9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spans="1:9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spans="1:9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spans="1:9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spans="1:9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spans="1:9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spans="1:9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spans="1: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spans="1:9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spans="1:9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spans="1:9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spans="1:9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spans="1:9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spans="1:9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spans="1:9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spans="1:9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spans="1: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spans="1:9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spans="1:9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spans="1:9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spans="1:9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spans="1:9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spans="1:9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spans="1:9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spans="1:9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spans="1: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spans="1:9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spans="1:9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spans="1:9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spans="1:9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spans="1:9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spans="1:9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spans="1:9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spans="1:9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spans="1:9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spans="1: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spans="1:9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spans="1:9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spans="1:9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spans="1:9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spans="1:9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spans="1:9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spans="1:9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spans="1:9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spans="1:9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spans="1: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spans="1:9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spans="1:9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spans="1:9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spans="1:9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spans="1:9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spans="1:9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spans="1:9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spans="1:9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spans="1:9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spans="1: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spans="1:9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.75" customHeight="1"/>
    <row r="222" spans="1:9" ht="15.75" customHeight="1"/>
    <row r="223" spans="1:9" ht="15.75" customHeight="1"/>
    <row r="224" spans="1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3" xr:uid="{00000000-0009-0000-0000-000002000000}"/>
  <dataValidations count="2">
    <dataValidation type="list" allowBlank="1" sqref="E7" xr:uid="{00000000-0002-0000-0200-000000000000}">
      <formula1>"P0,high,Medium,low"</formula1>
    </dataValidation>
    <dataValidation type="list" allowBlank="1" sqref="D7" xr:uid="{00000000-0002-0000-0200-000001000000}">
      <formula1>"Critical,Major,Medium,Low"</formula1>
    </dataValidation>
  </dataValidations>
  <hyperlinks>
    <hyperlink ref="J3" r:id="rId1" xr:uid="{00000000-0004-0000-0200-000000000000}"/>
    <hyperlink ref="J7" r:id="rId2" xr:uid="{00000000-0004-0000-0200-000001000000}"/>
    <hyperlink ref="J8" r:id="rId3" xr:uid="{00000000-0004-0000-0200-000002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Ahsan Md Muzahid</cp:lastModifiedBy>
  <dcterms:modified xsi:type="dcterms:W3CDTF">2026-10-10T03:58:31Z</dcterms:modified>
</cp:coreProperties>
</file>